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icadudzinski/Documents/Portfolio Projects/LotO Project/"/>
    </mc:Choice>
  </mc:AlternateContent>
  <xr:revisionPtr revIDLastSave="0" documentId="8_{76CD9241-6EC3-9D47-8322-DB24C1757540}" xr6:coauthVersionLast="47" xr6:coauthVersionMax="47" xr10:uidLastSave="{00000000-0000-0000-0000-000000000000}"/>
  <bookViews>
    <workbookView xWindow="0" yWindow="680" windowWidth="34200" windowHeight="21460" activeTab="2" xr2:uid="{BE18795E-C428-9340-89EE-7794005CDCDF}"/>
  </bookViews>
  <sheets>
    <sheet name="README" sheetId="3" r:id="rId1"/>
    <sheet name="Dashboard" sheetId="4" r:id="rId2"/>
    <sheet name="lake_ozarks_homeowners_v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4" l="1"/>
  <c r="D37" i="4"/>
  <c r="D36" i="4"/>
  <c r="P11" i="2"/>
  <c r="Q11" i="2" s="1"/>
  <c r="P12" i="2"/>
  <c r="Q12" i="2" s="1"/>
  <c r="P13" i="2"/>
  <c r="Q13" i="2" s="1"/>
  <c r="P14" i="2"/>
  <c r="Q14" i="2"/>
  <c r="P15" i="2"/>
  <c r="Q15" i="2" s="1"/>
  <c r="P16" i="2"/>
  <c r="Q16" i="2"/>
  <c r="P17" i="2"/>
  <c r="Q17" i="2" s="1"/>
  <c r="Q18" i="2"/>
  <c r="Q20" i="2"/>
  <c r="Q22" i="2"/>
  <c r="Q27" i="2"/>
  <c r="Q28" i="2"/>
  <c r="Q35" i="2"/>
  <c r="Q40" i="2"/>
  <c r="Q42" i="2"/>
  <c r="Q44" i="2"/>
  <c r="Q58" i="2"/>
  <c r="Q66" i="2"/>
  <c r="Q67" i="2"/>
  <c r="Q68" i="2"/>
  <c r="F30" i="4"/>
  <c r="F29" i="4"/>
  <c r="F28" i="4"/>
  <c r="F27" i="4"/>
  <c r="F26" i="4"/>
  <c r="F25" i="4"/>
  <c r="F24" i="4"/>
  <c r="F23" i="4"/>
  <c r="F22" i="4"/>
  <c r="F21" i="4"/>
  <c r="M11" i="2"/>
  <c r="M12" i="2"/>
  <c r="O12" i="2" s="1"/>
  <c r="M13" i="2"/>
  <c r="M14" i="2"/>
  <c r="O14" i="2" s="1"/>
  <c r="M15" i="2"/>
  <c r="M16" i="2"/>
  <c r="O16" i="2" s="1"/>
  <c r="M17" i="2"/>
  <c r="M18" i="2"/>
  <c r="O18" i="2" s="1"/>
  <c r="P18" i="2" s="1"/>
  <c r="M19" i="2"/>
  <c r="M20" i="2"/>
  <c r="J43" i="2"/>
  <c r="J35" i="2"/>
  <c r="J62" i="2"/>
  <c r="J59" i="2"/>
  <c r="J66" i="2"/>
  <c r="J25" i="2"/>
  <c r="J44" i="2"/>
  <c r="J36" i="2"/>
  <c r="J26" i="2"/>
  <c r="J60" i="2"/>
  <c r="J63" i="2"/>
  <c r="J64" i="2"/>
  <c r="J37" i="2"/>
  <c r="J67" i="2"/>
  <c r="J45" i="2"/>
  <c r="J46" i="2"/>
  <c r="J47" i="2"/>
  <c r="J48" i="2"/>
  <c r="J27" i="2"/>
  <c r="J49" i="2"/>
  <c r="J20" i="2"/>
  <c r="J16" i="2"/>
  <c r="J28" i="2"/>
  <c r="J38" i="2"/>
  <c r="J50" i="2"/>
  <c r="J11" i="2"/>
  <c r="J39" i="2"/>
  <c r="J40" i="2"/>
  <c r="J68" i="2"/>
  <c r="J29" i="2"/>
  <c r="J41" i="2"/>
  <c r="J65" i="2"/>
  <c r="J17" i="2"/>
  <c r="J51" i="2"/>
  <c r="J30" i="2"/>
  <c r="J52" i="2"/>
  <c r="J31" i="2"/>
  <c r="J53" i="2"/>
  <c r="J54" i="2"/>
  <c r="J42" i="2"/>
  <c r="J18" i="2"/>
  <c r="J55" i="2"/>
  <c r="J56" i="2"/>
  <c r="J21" i="2"/>
  <c r="J32" i="2"/>
  <c r="J22" i="2"/>
  <c r="J12" i="2"/>
  <c r="J57" i="2"/>
  <c r="J19" i="2"/>
  <c r="J23" i="2"/>
  <c r="J13" i="2"/>
  <c r="J24" i="2"/>
  <c r="J58" i="2"/>
  <c r="J61" i="2"/>
  <c r="J14" i="2"/>
  <c r="J33" i="2"/>
  <c r="J15" i="2"/>
  <c r="J34" i="2"/>
  <c r="M34" i="2"/>
  <c r="O34" i="2" s="1"/>
  <c r="P34" i="2" s="1"/>
  <c r="Q34" i="2" s="1"/>
  <c r="M43" i="2"/>
  <c r="M35" i="2"/>
  <c r="O35" i="2" s="1"/>
  <c r="P35" i="2" s="1"/>
  <c r="M62" i="2"/>
  <c r="O62" i="2" s="1"/>
  <c r="P62" i="2" s="1"/>
  <c r="Q62" i="2" s="1"/>
  <c r="M59" i="2"/>
  <c r="M66" i="2"/>
  <c r="O66" i="2" s="1"/>
  <c r="P66" i="2" s="1"/>
  <c r="M25" i="2"/>
  <c r="O25" i="2" s="1"/>
  <c r="P25" i="2" s="1"/>
  <c r="Q25" i="2" s="1"/>
  <c r="M44" i="2"/>
  <c r="O44" i="2" s="1"/>
  <c r="P44" i="2" s="1"/>
  <c r="M36" i="2"/>
  <c r="M26" i="2"/>
  <c r="O26" i="2" s="1"/>
  <c r="P26" i="2" s="1"/>
  <c r="Q26" i="2" s="1"/>
  <c r="M60" i="2"/>
  <c r="M63" i="2"/>
  <c r="O63" i="2" s="1"/>
  <c r="P63" i="2" s="1"/>
  <c r="Q63" i="2" s="1"/>
  <c r="M64" i="2"/>
  <c r="O64" i="2" s="1"/>
  <c r="P64" i="2" s="1"/>
  <c r="Q64" i="2" s="1"/>
  <c r="M37" i="2"/>
  <c r="O37" i="2" s="1"/>
  <c r="P37" i="2" s="1"/>
  <c r="Q37" i="2" s="1"/>
  <c r="M67" i="2"/>
  <c r="O67" i="2" s="1"/>
  <c r="P67" i="2" s="1"/>
  <c r="M45" i="2"/>
  <c r="O45" i="2" s="1"/>
  <c r="P45" i="2" s="1"/>
  <c r="Q45" i="2" s="1"/>
  <c r="M46" i="2"/>
  <c r="M47" i="2"/>
  <c r="M48" i="2"/>
  <c r="M27" i="2"/>
  <c r="O27" i="2" s="1"/>
  <c r="P27" i="2" s="1"/>
  <c r="M49" i="2"/>
  <c r="O49" i="2" s="1"/>
  <c r="P49" i="2" s="1"/>
  <c r="Q49" i="2" s="1"/>
  <c r="O20" i="2"/>
  <c r="P20" i="2" s="1"/>
  <c r="M28" i="2"/>
  <c r="O28" i="2" s="1"/>
  <c r="P28" i="2" s="1"/>
  <c r="M38" i="2"/>
  <c r="O38" i="2" s="1"/>
  <c r="P38" i="2" s="1"/>
  <c r="Q38" i="2" s="1"/>
  <c r="M50" i="2"/>
  <c r="O50" i="2" s="1"/>
  <c r="P50" i="2" s="1"/>
  <c r="Q50" i="2" s="1"/>
  <c r="M39" i="2"/>
  <c r="O39" i="2" s="1"/>
  <c r="P39" i="2" s="1"/>
  <c r="Q39" i="2" s="1"/>
  <c r="M40" i="2"/>
  <c r="O40" i="2" s="1"/>
  <c r="P40" i="2" s="1"/>
  <c r="M68" i="2"/>
  <c r="O68" i="2" s="1"/>
  <c r="P68" i="2" s="1"/>
  <c r="M29" i="2"/>
  <c r="O29" i="2" s="1"/>
  <c r="P29" i="2" s="1"/>
  <c r="Q29" i="2" s="1"/>
  <c r="M41" i="2"/>
  <c r="O41" i="2" s="1"/>
  <c r="P41" i="2" s="1"/>
  <c r="Q41" i="2" s="1"/>
  <c r="M65" i="2"/>
  <c r="O65" i="2" s="1"/>
  <c r="P65" i="2" s="1"/>
  <c r="Q65" i="2" s="1"/>
  <c r="M51" i="2"/>
  <c r="M30" i="2"/>
  <c r="O30" i="2" s="1"/>
  <c r="P30" i="2" s="1"/>
  <c r="Q30" i="2" s="1"/>
  <c r="M52" i="2"/>
  <c r="O52" i="2" s="1"/>
  <c r="P52" i="2" s="1"/>
  <c r="Q52" i="2" s="1"/>
  <c r="M31" i="2"/>
  <c r="O31" i="2" s="1"/>
  <c r="P31" i="2" s="1"/>
  <c r="Q31" i="2" s="1"/>
  <c r="M53" i="2"/>
  <c r="O53" i="2" s="1"/>
  <c r="P53" i="2" s="1"/>
  <c r="Q53" i="2" s="1"/>
  <c r="M54" i="2"/>
  <c r="O54" i="2" s="1"/>
  <c r="P54" i="2" s="1"/>
  <c r="Q54" i="2" s="1"/>
  <c r="M42" i="2"/>
  <c r="O42" i="2" s="1"/>
  <c r="P42" i="2" s="1"/>
  <c r="M55" i="2"/>
  <c r="M56" i="2"/>
  <c r="O56" i="2" s="1"/>
  <c r="P56" i="2" s="1"/>
  <c r="Q56" i="2" s="1"/>
  <c r="M21" i="2"/>
  <c r="O21" i="2" s="1"/>
  <c r="P21" i="2" s="1"/>
  <c r="Q21" i="2" s="1"/>
  <c r="M32" i="2"/>
  <c r="O32" i="2" s="1"/>
  <c r="P32" i="2" s="1"/>
  <c r="Q32" i="2" s="1"/>
  <c r="M22" i="2"/>
  <c r="O22" i="2" s="1"/>
  <c r="P22" i="2" s="1"/>
  <c r="M57" i="2"/>
  <c r="O57" i="2" s="1"/>
  <c r="P57" i="2" s="1"/>
  <c r="Q57" i="2" s="1"/>
  <c r="M23" i="2"/>
  <c r="O23" i="2" s="1"/>
  <c r="P23" i="2" s="1"/>
  <c r="Q23" i="2" s="1"/>
  <c r="M24" i="2"/>
  <c r="O24" i="2" s="1"/>
  <c r="P24" i="2" s="1"/>
  <c r="Q24" i="2" s="1"/>
  <c r="M58" i="2"/>
  <c r="O58" i="2" s="1"/>
  <c r="P58" i="2" s="1"/>
  <c r="M61" i="2"/>
  <c r="O61" i="2" s="1"/>
  <c r="P61" i="2" s="1"/>
  <c r="Q61" i="2" s="1"/>
  <c r="M33" i="2"/>
  <c r="O33" i="2" s="1"/>
  <c r="P33" i="2" s="1"/>
  <c r="Q33" i="2" s="1"/>
  <c r="N59" i="2" l="1"/>
  <c r="N11" i="2"/>
  <c r="N47" i="2"/>
  <c r="N33" i="2"/>
  <c r="N42" i="2"/>
  <c r="N65" i="2"/>
  <c r="N46" i="2"/>
  <c r="N36" i="2"/>
  <c r="N51" i="2"/>
  <c r="N60" i="2"/>
  <c r="N19" i="2"/>
  <c r="N43" i="2"/>
  <c r="O60" i="2"/>
  <c r="P60" i="2" s="1"/>
  <c r="Q60" i="2" s="1"/>
  <c r="N31" i="2"/>
  <c r="N16" i="2"/>
  <c r="N17" i="2"/>
  <c r="N61" i="2"/>
  <c r="N53" i="2"/>
  <c r="N29" i="2"/>
  <c r="O47" i="2"/>
  <c r="P47" i="2" s="1"/>
  <c r="Q47" i="2" s="1"/>
  <c r="N66" i="2"/>
  <c r="N58" i="2"/>
  <c r="N50" i="2"/>
  <c r="N34" i="2"/>
  <c r="N26" i="2"/>
  <c r="N18" i="2"/>
  <c r="O46" i="2"/>
  <c r="P46" i="2" s="1"/>
  <c r="Q46" i="2" s="1"/>
  <c r="O17" i="2"/>
  <c r="O15" i="2"/>
  <c r="N57" i="2"/>
  <c r="N49" i="2"/>
  <c r="N41" i="2"/>
  <c r="N25" i="2"/>
  <c r="N56" i="2"/>
  <c r="N40" i="2"/>
  <c r="N24" i="2"/>
  <c r="N63" i="2"/>
  <c r="N55" i="2"/>
  <c r="N39" i="2"/>
  <c r="N15" i="2"/>
  <c r="N22" i="2"/>
  <c r="O36" i="2"/>
  <c r="P36" i="2" s="1"/>
  <c r="Q36" i="2" s="1"/>
  <c r="N45" i="2"/>
  <c r="N37" i="2"/>
  <c r="N21" i="2"/>
  <c r="N13" i="2"/>
  <c r="N64" i="2"/>
  <c r="N32" i="2"/>
  <c r="N23" i="2"/>
  <c r="N62" i="2"/>
  <c r="N54" i="2"/>
  <c r="N38" i="2"/>
  <c r="N30" i="2"/>
  <c r="N14" i="2"/>
  <c r="O43" i="2"/>
  <c r="P43" i="2" s="1"/>
  <c r="Q43" i="2" s="1"/>
  <c r="O19" i="2"/>
  <c r="P19" i="2" s="1"/>
  <c r="Q19" i="2" s="1"/>
  <c r="N68" i="2"/>
  <c r="N52" i="2"/>
  <c r="N44" i="2"/>
  <c r="N28" i="2"/>
  <c r="N20" i="2"/>
  <c r="N12" i="2"/>
  <c r="N48" i="2"/>
  <c r="N67" i="2"/>
  <c r="N35" i="2"/>
  <c r="N27" i="2"/>
  <c r="O48" i="2"/>
  <c r="P48" i="2" s="1"/>
  <c r="Q48" i="2" s="1"/>
  <c r="O51" i="2"/>
  <c r="P51" i="2" s="1"/>
  <c r="Q51" i="2" s="1"/>
  <c r="O13" i="2"/>
  <c r="O55" i="2"/>
  <c r="P55" i="2" s="1"/>
  <c r="Q55" i="2" s="1"/>
  <c r="O11" i="2"/>
  <c r="O59" i="2"/>
  <c r="P59" i="2" s="1"/>
  <c r="Q59" i="2" s="1"/>
  <c r="C13" i="4" l="1"/>
  <c r="C12" i="4"/>
  <c r="C14" i="4"/>
  <c r="C4" i="4"/>
  <c r="B3" i="2"/>
  <c r="C7" i="4"/>
  <c r="AB5" i="4"/>
  <c r="C6" i="4"/>
  <c r="C5" i="4"/>
  <c r="AB4" i="4"/>
  <c r="AB6" i="4"/>
  <c r="B6" i="2"/>
  <c r="B4" i="2"/>
  <c r="B5" i="2"/>
  <c r="C10" i="4" l="1"/>
  <c r="C9" i="4"/>
  <c r="B8" i="2"/>
  <c r="B9" i="2"/>
</calcChain>
</file>

<file path=xl/sharedStrings.xml><?xml version="1.0" encoding="utf-8"?>
<sst xmlns="http://schemas.openxmlformats.org/spreadsheetml/2006/main" count="412" uniqueCount="138">
  <si>
    <t>property_value</t>
  </si>
  <si>
    <t>beds</t>
  </si>
  <si>
    <t>baths</t>
  </si>
  <si>
    <t>sqft</t>
  </si>
  <si>
    <t>property_city</t>
  </si>
  <si>
    <t>property_state</t>
  </si>
  <si>
    <t>property_zip</t>
  </si>
  <si>
    <t>903 Dogwood Rd</t>
  </si>
  <si>
    <t>MO</t>
  </si>
  <si>
    <t>Lake Ozark</t>
  </si>
  <si>
    <t>Osage Beach</t>
  </si>
  <si>
    <t>Sunset Beach</t>
  </si>
  <si>
    <t>Four Seasons</t>
  </si>
  <si>
    <t>Villages</t>
  </si>
  <si>
    <t>439 Redbud Ct</t>
  </si>
  <si>
    <t>507 Redbud Ct</t>
  </si>
  <si>
    <t>1111 Ginger Rd</t>
  </si>
  <si>
    <t>53 Rosco Rd</t>
  </si>
  <si>
    <t>498 Wilmore Rd</t>
  </si>
  <si>
    <t>820 Cedar Crest Dr</t>
  </si>
  <si>
    <t>180 Borders Dr</t>
  </si>
  <si>
    <t>186 Frudeger Rd</t>
  </si>
  <si>
    <t>1479 Cedar Village Rd</t>
  </si>
  <si>
    <t>4452 Hamrock Ln</t>
  </si>
  <si>
    <t>1258 Bonard Ln</t>
  </si>
  <si>
    <t>33 Vista Ct</t>
  </si>
  <si>
    <t>148 Old English Point</t>
  </si>
  <si>
    <t>331 Hollow Oak Rd</t>
  </si>
  <si>
    <t>300 Beachnut Dr</t>
  </si>
  <si>
    <t>283 &amp; 298 Tropical Trail Rd</t>
  </si>
  <si>
    <t>205 Beachnut Dr</t>
  </si>
  <si>
    <t>LOT 10 Shootout Dr</t>
  </si>
  <si>
    <t>5590 Alona Point</t>
  </si>
  <si>
    <t>1294 Squire Ln</t>
  </si>
  <si>
    <t>1254 Darwin Dr</t>
  </si>
  <si>
    <t>4650 Windsor Dr</t>
  </si>
  <si>
    <t>29 Forest Trce</t>
  </si>
  <si>
    <t>1330 Palisades Dr</t>
  </si>
  <si>
    <t>310 Palisades Dr</t>
  </si>
  <si>
    <t>LOT 2A Casas Del Ln</t>
  </si>
  <si>
    <t>50 Brookhaven Ct</t>
  </si>
  <si>
    <t>5211 Dude Ranch Rd</t>
  </si>
  <si>
    <t>lot_based_property_address</t>
  </si>
  <si>
    <t>standard_property_address</t>
  </si>
  <si>
    <t>Dock</t>
  </si>
  <si>
    <t>Access</t>
  </si>
  <si>
    <t>price_per_sqft</t>
  </si>
  <si>
    <t xml:space="preserve">dock_score </t>
  </si>
  <si>
    <t>segment</t>
  </si>
  <si>
    <t>target_priority</t>
  </si>
  <si>
    <t>data_type</t>
  </si>
  <si>
    <t>Active Listing</t>
  </si>
  <si>
    <t>Recently Sold</t>
  </si>
  <si>
    <t>value_source</t>
  </si>
  <si>
    <t>374 Lakeshore Dr</t>
  </si>
  <si>
    <t>63 Pebble Beach Dr</t>
  </si>
  <si>
    <t>Sunrise Beach</t>
  </si>
  <si>
    <t>825 Grand View Dr</t>
  </si>
  <si>
    <t>2711 Bittersweet Rd</t>
  </si>
  <si>
    <t>255 Waterford Ter</t>
  </si>
  <si>
    <t>zestimate</t>
  </si>
  <si>
    <t>Waterfront</t>
  </si>
  <si>
    <t>62 Tara Rd, Lake Ozark</t>
  </si>
  <si>
    <t>1114 Grand Cove Rd</t>
  </si>
  <si>
    <t>4506 Deer Run Dr</t>
  </si>
  <si>
    <t>853 Sweetwater Dr</t>
  </si>
  <si>
    <t>377 Lake Dr</t>
  </si>
  <si>
    <t>estimated</t>
  </si>
  <si>
    <t>1019 Beacon Ridge Dr</t>
  </si>
  <si>
    <t>42 Bluebird Dr</t>
  </si>
  <si>
    <t>584 Woodland Point</t>
  </si>
  <si>
    <t>Linn Creek</t>
  </si>
  <si>
    <t>644 Twin Valley Loop</t>
  </si>
  <si>
    <t>459 Point Charles Rd</t>
  </si>
  <si>
    <t>740 Mistwood Bluff Rd</t>
  </si>
  <si>
    <t>Camdenton</t>
  </si>
  <si>
    <t>2243 Peninsula Ct</t>
  </si>
  <si>
    <t>439 Beacon Point</t>
  </si>
  <si>
    <t>851 Via Appia Dr</t>
  </si>
  <si>
    <t>36 Via Preminenta</t>
  </si>
  <si>
    <t>5500 Stone Ledge Cir</t>
  </si>
  <si>
    <t>924 Las Campanas</t>
  </si>
  <si>
    <t>808 Las Campanas</t>
  </si>
  <si>
    <t>387 Lake Dr,</t>
  </si>
  <si>
    <t>25 Elm Ct</t>
  </si>
  <si>
    <t>1120 Cornett Branch Rd</t>
  </si>
  <si>
    <t>282 Timber Ridge Ln</t>
  </si>
  <si>
    <t>446 Sioux Rd</t>
  </si>
  <si>
    <t>rank</t>
  </si>
  <si>
    <t>waterfront_type</t>
  </si>
  <si>
    <t>Lake of the Ozarks Property Intelligence Dataset</t>
  </si>
  <si>
    <t xml:space="preserve">Total Properties:        </t>
  </si>
  <si>
    <t xml:space="preserve">Premier Dock Owners:     </t>
  </si>
  <si>
    <t xml:space="preserve">High-Value Dock Owners:  </t>
  </si>
  <si>
    <t xml:space="preserve">Active Listings:         </t>
  </si>
  <si>
    <t xml:space="preserve">Recently Sold:           </t>
  </si>
  <si>
    <t>🧾 Project Overview</t>
  </si>
  <si>
    <t>Lake of the Ozarks Property Intelligence Model</t>
  </si>
  <si>
    <t>This dataset identifies and ranks high-value waterfront properties using a scoring model based on property value, size, and water access.</t>
  </si>
  <si>
    <t>🎯 Objective</t>
  </si>
  <si>
    <t>To create a targeting dataset for:</t>
  </si>
  <si>
    <t>Dock service companies</t>
  </si>
  <si>
    <t>Marine businesses</t>
  </si>
  <si>
    <t>Real estate professionals</t>
  </si>
  <si>
    <t>⚙️ Methodology</t>
  </si>
  <si>
    <t>Combined active listings and recently sold properties</t>
  </si>
  <si>
    <t>Engineered features:</t>
  </si>
  <si>
    <t>dock_score</t>
  </si>
  <si>
    <t>Ranked properties based on likelihood of dock ownership and value</t>
  </si>
  <si>
    <t>📊 Output</t>
  </si>
  <si>
    <t>Ranked list of high-value lakefront properties</t>
  </si>
  <si>
    <t>Segmented targeting dataset</t>
  </si>
  <si>
    <t>Summary metrics for decision-making</t>
  </si>
  <si>
    <t>Segment</t>
  </si>
  <si>
    <t>Premier Dock Owner</t>
  </si>
  <si>
    <t xml:space="preserve"> High-Value Dock Owner</t>
  </si>
  <si>
    <t>Waterfront / Access Prospect</t>
  </si>
  <si>
    <t>Address</t>
  </si>
  <si>
    <t>City</t>
  </si>
  <si>
    <t>Property Value</t>
  </si>
  <si>
    <t>Dock Score</t>
  </si>
  <si>
    <t>Lake of the Ozarks Property Intelligence Dashboard</t>
  </si>
  <si>
    <t>Identifying high-value waterfront properties for targeted dock service opportunities</t>
  </si>
  <si>
    <t>Top 10 High-Value Dock Ownership Targets</t>
  </si>
  <si>
    <t>Most properties fall into mid-to-high value dock ownership tiers, indicating strong targeting potential for marine service providers.</t>
  </si>
  <si>
    <t>Waterfront Type</t>
  </si>
  <si>
    <t>`</t>
  </si>
  <si>
    <t>targeting_strategy</t>
  </si>
  <si>
    <t>Priority A Targets:</t>
  </si>
  <si>
    <t>Priority B Targets:</t>
  </si>
  <si>
    <t>Priority C Targets:</t>
  </si>
  <si>
    <t>Action Summary</t>
  </si>
  <si>
    <t xml:space="preserve">Immediate Outreach Targets (A):  </t>
  </si>
  <si>
    <t xml:space="preserve">Low Priority / Monitor (C):  </t>
  </si>
  <si>
    <t>Recommended Focus:</t>
  </si>
  <si>
    <t>Prioritize direct outreach to A-tier properties, followed by personalized campaigns for B-tier prospects.</t>
  </si>
  <si>
    <t>Waterfront/Access Prospects:</t>
  </si>
  <si>
    <t xml:space="preserve">Secondary Outreach Targets (B):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</si>
</sst>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color rgb="FF2A2A33"/>
      <name val="Times New Roman"/>
      <family val="1"/>
    </font>
    <font>
      <sz val="10"/>
      <color theme="1"/>
      <name val="Times New Roman"/>
      <family val="1"/>
    </font>
    <font>
      <sz val="10"/>
      <color rgb="FF111116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8"/>
      <color theme="1"/>
      <name val="Aptos Narrow (Body)"/>
    </font>
    <font>
      <b/>
      <sz val="22"/>
      <color theme="1"/>
      <name val="Times New Roman"/>
      <family val="1"/>
    </font>
    <font>
      <sz val="12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4"/>
      <name val="Aptos Narrow"/>
      <scheme val="minor"/>
    </font>
    <font>
      <b/>
      <sz val="12"/>
      <color theme="4"/>
      <name val="Aptos Narrow"/>
      <scheme val="minor"/>
    </font>
    <font>
      <b/>
      <sz val="12"/>
      <color theme="4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59999389629810485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1" fontId="4" fillId="0" borderId="2" xfId="0" applyNumberFormat="1" applyFont="1" applyBorder="1" applyAlignment="1">
      <alignment horizontal="center"/>
    </xf>
    <xf numFmtId="2" fontId="4" fillId="0" borderId="2" xfId="1" applyNumberFormat="1" applyFont="1" applyBorder="1" applyAlignment="1">
      <alignment horizontal="center"/>
    </xf>
    <xf numFmtId="2" fontId="3" fillId="0" borderId="0" xfId="0" applyNumberFormat="1" applyFont="1" applyAlignment="1">
      <alignment horizontal="right"/>
    </xf>
    <xf numFmtId="2" fontId="3" fillId="0" borderId="0" xfId="1" applyNumberFormat="1" applyFont="1" applyAlignment="1">
      <alignment horizontal="right"/>
    </xf>
    <xf numFmtId="2" fontId="4" fillId="0" borderId="0" xfId="1" applyNumberFormat="1" applyFont="1" applyAlignment="1">
      <alignment horizontal="right"/>
    </xf>
    <xf numFmtId="1" fontId="4" fillId="0" borderId="1" xfId="0" applyNumberFormat="1" applyFont="1" applyBorder="1" applyAlignment="1">
      <alignment horizontal="center"/>
    </xf>
    <xf numFmtId="1" fontId="4" fillId="0" borderId="2" xfId="1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" fontId="4" fillId="0" borderId="0" xfId="0" applyNumberFormat="1" applyFont="1" applyAlignment="1">
      <alignment horizontal="left"/>
    </xf>
    <xf numFmtId="1" fontId="4" fillId="0" borderId="0" xfId="1" applyNumberFormat="1" applyFont="1" applyAlignment="1">
      <alignment horizontal="right"/>
    </xf>
    <xf numFmtId="1" fontId="5" fillId="0" borderId="0" xfId="0" applyNumberFormat="1" applyFont="1"/>
    <xf numFmtId="0" fontId="5" fillId="0" borderId="0" xfId="0" applyFont="1"/>
    <xf numFmtId="1" fontId="3" fillId="0" borderId="0" xfId="0" applyNumberFormat="1" applyFont="1"/>
    <xf numFmtId="0" fontId="2" fillId="0" borderId="0" xfId="0" applyFont="1" applyAlignment="1">
      <alignment horizontal="left" wrapText="1"/>
    </xf>
    <xf numFmtId="0" fontId="8" fillId="0" borderId="0" xfId="0" applyFont="1"/>
    <xf numFmtId="0" fontId="7" fillId="0" borderId="0" xfId="0" applyFont="1"/>
    <xf numFmtId="0" fontId="6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0" fillId="4" borderId="8" xfId="0" applyFill="1" applyBorder="1"/>
    <xf numFmtId="0" fontId="0" fillId="4" borderId="9" xfId="0" applyFill="1" applyBorder="1"/>
    <xf numFmtId="0" fontId="0" fillId="4" borderId="5" xfId="0" applyFill="1" applyBorder="1"/>
    <xf numFmtId="0" fontId="6" fillId="4" borderId="7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wrapText="1"/>
    </xf>
    <xf numFmtId="0" fontId="0" fillId="4" borderId="10" xfId="0" applyFill="1" applyBorder="1"/>
    <xf numFmtId="0" fontId="0" fillId="4" borderId="4" xfId="0" applyFill="1" applyBorder="1"/>
    <xf numFmtId="0" fontId="0" fillId="4" borderId="11" xfId="0" applyFill="1" applyBorder="1"/>
    <xf numFmtId="164" fontId="3" fillId="5" borderId="0" xfId="1" applyNumberFormat="1" applyFont="1" applyFill="1" applyBorder="1" applyAlignment="1">
      <alignment horizontal="right"/>
    </xf>
    <xf numFmtId="164" fontId="3" fillId="3" borderId="0" xfId="1" applyNumberFormat="1" applyFont="1" applyFill="1" applyBorder="1" applyAlignment="1">
      <alignment horizontal="right"/>
    </xf>
    <xf numFmtId="164" fontId="4" fillId="3" borderId="0" xfId="1" applyNumberFormat="1" applyFont="1" applyFill="1" applyBorder="1" applyAlignment="1">
      <alignment horizontal="right"/>
    </xf>
    <xf numFmtId="0" fontId="11" fillId="4" borderId="6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" fontId="4" fillId="0" borderId="0" xfId="0" applyNumberFormat="1" applyFont="1" applyAlignment="1">
      <alignment horizontal="right" wrapText="1"/>
    </xf>
    <xf numFmtId="0" fontId="0" fillId="4" borderId="0" xfId="0" applyFill="1" applyBorder="1"/>
    <xf numFmtId="0" fontId="2" fillId="4" borderId="0" xfId="0" applyFont="1" applyFill="1" applyBorder="1" applyAlignment="1">
      <alignment horizontal="center" wrapText="1"/>
    </xf>
    <xf numFmtId="0" fontId="9" fillId="4" borderId="0" xfId="0" applyFont="1" applyFill="1" applyBorder="1" applyAlignment="1">
      <alignment vertical="center" wrapText="1"/>
    </xf>
    <xf numFmtId="0" fontId="14" fillId="4" borderId="0" xfId="0" applyFont="1" applyFill="1" applyBorder="1"/>
    <xf numFmtId="0" fontId="10" fillId="4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12" fillId="4" borderId="0" xfId="0" applyFont="1" applyFill="1" applyBorder="1"/>
    <xf numFmtId="1" fontId="3" fillId="5" borderId="0" xfId="0" applyNumberFormat="1" applyFont="1" applyFill="1" applyBorder="1" applyAlignment="1">
      <alignment horizontal="left"/>
    </xf>
    <xf numFmtId="1" fontId="3" fillId="5" borderId="0" xfId="0" applyNumberFormat="1" applyFont="1" applyFill="1" applyBorder="1" applyAlignment="1">
      <alignment horizontal="right"/>
    </xf>
    <xf numFmtId="1" fontId="4" fillId="5" borderId="0" xfId="0" applyNumberFormat="1" applyFont="1" applyFill="1" applyBorder="1" applyAlignment="1">
      <alignment horizontal="right"/>
    </xf>
    <xf numFmtId="1" fontId="3" fillId="3" borderId="0" xfId="0" applyNumberFormat="1" applyFont="1" applyFill="1" applyBorder="1" applyAlignment="1">
      <alignment horizontal="left"/>
    </xf>
    <xf numFmtId="1" fontId="3" fillId="3" borderId="0" xfId="0" applyNumberFormat="1" applyFont="1" applyFill="1" applyBorder="1" applyAlignment="1">
      <alignment horizontal="right"/>
    </xf>
    <xf numFmtId="1" fontId="4" fillId="3" borderId="0" xfId="0" applyNumberFormat="1" applyFont="1" applyFill="1" applyBorder="1" applyAlignment="1">
      <alignment horizontal="right"/>
    </xf>
    <xf numFmtId="0" fontId="5" fillId="3" borderId="0" xfId="0" applyFont="1" applyFill="1" applyBorder="1"/>
    <xf numFmtId="0" fontId="0" fillId="4" borderId="0" xfId="0" applyFill="1" applyBorder="1" applyAlignment="1">
      <alignment horizontal="center" wrapText="1"/>
    </xf>
    <xf numFmtId="0" fontId="2" fillId="4" borderId="0" xfId="0" applyFont="1" applyFill="1" applyBorder="1" applyAlignment="1">
      <alignment horizontal="right" wrapText="1"/>
    </xf>
    <xf numFmtId="0" fontId="0" fillId="4" borderId="0" xfId="0" applyFill="1" applyBorder="1" applyAlignment="1"/>
    <xf numFmtId="0" fontId="15" fillId="6" borderId="5" xfId="0" applyFont="1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0" xfId="0" applyFill="1" applyBorder="1"/>
    <xf numFmtId="1" fontId="0" fillId="6" borderId="0" xfId="0" applyNumberFormat="1" applyFill="1" applyBorder="1" applyAlignment="1">
      <alignment horizontal="left"/>
    </xf>
    <xf numFmtId="0" fontId="0" fillId="6" borderId="9" xfId="0" applyFill="1" applyBorder="1"/>
    <xf numFmtId="0" fontId="16" fillId="6" borderId="8" xfId="0" applyFont="1" applyFill="1" applyBorder="1"/>
    <xf numFmtId="0" fontId="0" fillId="6" borderId="10" xfId="0" applyFill="1" applyBorder="1"/>
    <xf numFmtId="0" fontId="0" fillId="6" borderId="4" xfId="0" applyFill="1" applyBorder="1"/>
    <xf numFmtId="0" fontId="0" fillId="6" borderId="11" xfId="0" applyFill="1" applyBorder="1"/>
    <xf numFmtId="0" fontId="17" fillId="0" borderId="0" xfId="0" applyFont="1" applyAlignment="1">
      <alignment horizontal="left" wrapText="1"/>
    </xf>
  </cellXfs>
  <cellStyles count="2">
    <cellStyle name="Currency" xfId="1" builtinId="4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2"/>
        <color theme="3"/>
        <name val="Aptos Narrow"/>
        <family val="2"/>
        <scheme val="minor"/>
      </font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A2A33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A2A33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A2A33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A2A33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A2A33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A2A33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A2A33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A2A33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A2A33"/>
        <name val="Times New Roman"/>
        <family val="1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A2A33"/>
        <name val="Times New Roman"/>
        <family val="1"/>
        <scheme val="none"/>
      </font>
      <numFmt numFmtId="1" formatCode="0"/>
      <alignment horizontal="left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numFmt numFmtId="1" formatCode="0"/>
      <alignment horizontal="center" vertical="bottom" textRotation="0" wrapText="0" indent="0" justifyLastLine="0" shrinkToFit="0" readingOrder="0"/>
    </dxf>
    <dxf>
      <border outline="0"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Property Segment Distribution</a:t>
            </a:r>
          </a:p>
        </c:rich>
      </c:tx>
      <c:layout>
        <c:manualLayout>
          <c:xMode val="edge"/>
          <c:yMode val="edge"/>
          <c:x val="0.21973572635404381"/>
          <c:y val="6.5028994905048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Dashboard!$AA$4:$AA$6</c:f>
              <c:strCache>
                <c:ptCount val="3"/>
                <c:pt idx="0">
                  <c:v>Premier Dock Owner</c:v>
                </c:pt>
                <c:pt idx="1">
                  <c:v> High-Value Dock Owner</c:v>
                </c:pt>
                <c:pt idx="2">
                  <c:v>Waterfront / Access Prospect</c:v>
                </c:pt>
              </c:strCache>
            </c:strRef>
          </c:cat>
          <c:val>
            <c:numRef>
              <c:f>Dashboard!$AB$4:$AB$6</c:f>
              <c:numCache>
                <c:formatCode>General</c:formatCode>
                <c:ptCount val="3"/>
                <c:pt idx="0">
                  <c:v>9</c:v>
                </c:pt>
                <c:pt idx="1">
                  <c:v>23</c:v>
                </c:pt>
                <c:pt idx="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E-5345-A984-5BCADF292E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977200320"/>
        <c:axId val="915885120"/>
      </c:barChart>
      <c:catAx>
        <c:axId val="97720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885120"/>
        <c:crosses val="autoZero"/>
        <c:auto val="1"/>
        <c:lblAlgn val="ctr"/>
        <c:lblOffset val="100"/>
        <c:noMultiLvlLbl val="0"/>
      </c:catAx>
      <c:valAx>
        <c:axId val="9158851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7720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3</xdr:row>
      <xdr:rowOff>82550</xdr:rowOff>
    </xdr:from>
    <xdr:to>
      <xdr:col>6</xdr:col>
      <xdr:colOff>12700</xdr:colOff>
      <xdr:row>16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4DE5EA-B32F-3340-50C3-42CBB1A7F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F2F546-3F2F-E142-BA48-2F94E18F38E3}" name="Table1" displayName="Table1" ref="B20:F30" totalsRowShown="0" headerRowDxfId="6" dataDxfId="5" tableBorderDxfId="29">
  <autoFilter ref="B20:F30" xr:uid="{10F2F546-3F2F-E142-BA48-2F94E18F38E3}"/>
  <tableColumns count="5">
    <tableColumn id="1" xr3:uid="{1670F09A-08EF-8643-A9A1-A83E0786FBA5}" name="Address" dataDxfId="4"/>
    <tableColumn id="2" xr3:uid="{E1815A76-FA0B-C244-87F5-E31DFCEEDDB6}" name="City" dataDxfId="3"/>
    <tableColumn id="3" xr3:uid="{2B43AA05-B264-CD42-95AA-3759728C06E7}" name="Property Value" dataDxfId="2"/>
    <tableColumn id="4" xr3:uid="{B71A4CD4-28DA-7740-B325-5732387A184C}" name="Dock Score" dataDxfId="1"/>
    <tableColumn id="5" xr3:uid="{A28E26B8-2CCB-8647-A169-9B59563441D0}" name="Segment" dataDxfId="0">
      <calculatedColumnFormula>IF(D21&gt;=100,"Premier Dock Owner",IF(D21&gt;=85,"High-Value Dock Owner",IF(D21&gt;=65,"Waterfront / Access Prospect","Lower Priority")))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A7BD1-2BBC-BF49-BBDA-C8DE53A31322}" name="Table13" displayName="Table13" ref="A10:R68" totalsRowShown="0" headerRowDxfId="28" dataDxfId="27" headerRowBorderDxfId="25" tableBorderDxfId="26">
  <autoFilter ref="A10:R68" xr:uid="{2B1E2628-6C6B-8F42-9CA0-C106393DC5B7}"/>
  <sortState xmlns:xlrd2="http://schemas.microsoft.com/office/spreadsheetml/2017/richdata2" ref="A11:R68">
    <sortCondition ref="N10:N68"/>
  </sortState>
  <tableColumns count="18">
    <tableColumn id="1" xr3:uid="{EE92A23E-BD9D-AD42-BDB7-89DEDAAF7F9C}" name="standard_property_address" dataDxfId="24"/>
    <tableColumn id="10" xr3:uid="{92E00EAF-BBD4-8C4B-A32D-CB68C71FB2BC}" name="lot_based_property_address" dataDxfId="23"/>
    <tableColumn id="2" xr3:uid="{8622340D-6C4E-6648-B390-010DCA010943}" name="property_city" dataDxfId="22"/>
    <tableColumn id="3" xr3:uid="{BD4D83D5-B34B-464B-965F-3C66BF5E2295}" name="property_state" dataDxfId="21"/>
    <tableColumn id="4" xr3:uid="{A3790701-4C90-E24E-9129-EFD4AF0007D0}" name="property_zip" dataDxfId="20"/>
    <tableColumn id="6" xr3:uid="{84D7F03B-2DA4-0E43-9694-D6BB8C06CD69}" name="beds" dataDxfId="19"/>
    <tableColumn id="7" xr3:uid="{7C02BEE2-B6EF-3E4C-B2B9-796ED6D0B30A}" name="baths" dataDxfId="18"/>
    <tableColumn id="8" xr3:uid="{DE4166C2-3DE8-9645-A726-DEF9260E4D5E}" name="sqft" dataDxfId="17"/>
    <tableColumn id="5" xr3:uid="{ABCE4E17-E9E2-904E-BE99-F8FFAC36140C}" name="property_value" dataDxfId="16"/>
    <tableColumn id="11" xr3:uid="{0A5D71AC-2AE4-1040-B1A6-5E87D91BA095}" name="price_per_sqft" dataDxfId="15">
      <calculatedColumnFormula>Table13[[#This Row],[property_value]]/Table13[[#This Row],[sqft]]</calculatedColumnFormula>
    </tableColumn>
    <tableColumn id="23" xr3:uid="{05DA35BC-FA24-0D40-877D-DE87EE4CD2DE}" name="value_source" dataDxfId="14"/>
    <tableColumn id="9" xr3:uid="{D1E875AF-E2A7-FF46-AD16-C884328671EF}" name="waterfront_type" dataDxfId="13"/>
    <tableColumn id="12" xr3:uid="{5F567D84-F80A-1443-8DDE-B33A7AC2703F}" name="dock_score " dataDxfId="12">
      <calculatedColumnFormula>IF(L11="Dock",50,IF(L11="Waterfront",40,IF(L11="Access",20,0)))+IF(I11&gt;5000000,30,IF(I11&gt;2000000,25,IF(I11&gt;1000000,20,10)))+IF(H11&gt;6000,15,IF(H11&gt;4000,10,5))+IF(F11&gt;=6,10,IF(F11&gt;=4,5,0))</calculatedColumnFormula>
    </tableColumn>
    <tableColumn id="24" xr3:uid="{39AAC076-4F5C-3D4B-A7D8-A922971D77BB}" name="rank" dataDxfId="11">
      <calculatedColumnFormula>_xlfn.RANK.EQ(M11,$M$11:$M$68,0)</calculatedColumnFormula>
    </tableColumn>
    <tableColumn id="13" xr3:uid="{E3BA0082-0968-1F4F-9DBC-E76EC5E1DA36}" name="segment" dataDxfId="10">
      <calculatedColumnFormula>IF(M11&gt;=100,"Premier Dock Owner",IF(M11&gt;=85,"High-Value Dock Owner",IF(M11&gt;=65,"Waterfront / Access Prospect","Lower Priority")))</calculatedColumnFormula>
    </tableColumn>
    <tableColumn id="14" xr3:uid="{34D8729F-815D-4543-A3BE-7C3E94830BED}" name="target_priority" dataDxfId="9">
      <calculatedColumnFormula>IF(O11="Premier Dock Owner","A",IF(O11="High-Value Dock Owner","B","C"))</calculatedColumnFormula>
    </tableColumn>
    <tableColumn id="25" xr3:uid="{8EAA3BC9-8C75-DE4E-A640-F74B07E85872}" name="targeting_strategy" dataDxfId="8">
      <calculatedColumnFormula>IF(Table13[[#This Row],[target_priority]]="A","Direct Outreach",IF(Table13[[#This Row],[target_priority]]="B","Personalized Mail Campaign","Low Priority / Monitor"))</calculatedColumnFormula>
    </tableColumn>
    <tableColumn id="21" xr3:uid="{707F28F8-1452-D044-8771-36797C757B70}" name="data_type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0C8D-B316-DB4B-971B-6121087E84E0}">
  <dimension ref="A1:A34"/>
  <sheetViews>
    <sheetView showGridLines="0" workbookViewId="0">
      <selection activeCell="I24" sqref="I24"/>
    </sheetView>
  </sheetViews>
  <sheetFormatPr baseColWidth="10" defaultRowHeight="16" x14ac:dyDescent="0.2"/>
  <sheetData>
    <row r="1" spans="1:1" ht="24" x14ac:dyDescent="0.3">
      <c r="A1" s="23" t="s">
        <v>96</v>
      </c>
    </row>
    <row r="3" spans="1:1" x14ac:dyDescent="0.2">
      <c r="A3" s="24" t="s">
        <v>97</v>
      </c>
    </row>
    <row r="5" spans="1:1" x14ac:dyDescent="0.2">
      <c r="A5" t="s">
        <v>98</v>
      </c>
    </row>
    <row r="9" spans="1:1" ht="24" x14ac:dyDescent="0.3">
      <c r="A9" s="23" t="s">
        <v>99</v>
      </c>
    </row>
    <row r="11" spans="1:1" x14ac:dyDescent="0.2">
      <c r="A11" t="s">
        <v>100</v>
      </c>
    </row>
    <row r="13" spans="1:1" x14ac:dyDescent="0.2">
      <c r="A13" t="s">
        <v>101</v>
      </c>
    </row>
    <row r="14" spans="1:1" x14ac:dyDescent="0.2">
      <c r="A14" t="s">
        <v>102</v>
      </c>
    </row>
    <row r="15" spans="1:1" x14ac:dyDescent="0.2">
      <c r="A15" t="s">
        <v>103</v>
      </c>
    </row>
    <row r="19" spans="1:1" ht="24" x14ac:dyDescent="0.3">
      <c r="A19" s="23" t="s">
        <v>104</v>
      </c>
    </row>
    <row r="21" spans="1:1" x14ac:dyDescent="0.2">
      <c r="A21" t="s">
        <v>105</v>
      </c>
    </row>
    <row r="22" spans="1:1" x14ac:dyDescent="0.2">
      <c r="A22" t="s">
        <v>106</v>
      </c>
    </row>
    <row r="23" spans="1:1" x14ac:dyDescent="0.2">
      <c r="A23" t="s">
        <v>107</v>
      </c>
    </row>
    <row r="24" spans="1:1" x14ac:dyDescent="0.2">
      <c r="A24" t="s">
        <v>48</v>
      </c>
    </row>
    <row r="25" spans="1:1" x14ac:dyDescent="0.2">
      <c r="A25" t="s">
        <v>49</v>
      </c>
    </row>
    <row r="26" spans="1:1" x14ac:dyDescent="0.2">
      <c r="A26" t="s">
        <v>108</v>
      </c>
    </row>
    <row r="30" spans="1:1" ht="24" x14ac:dyDescent="0.3">
      <c r="A30" s="23" t="s">
        <v>109</v>
      </c>
    </row>
    <row r="32" spans="1:1" x14ac:dyDescent="0.2">
      <c r="A32" t="s">
        <v>110</v>
      </c>
    </row>
    <row r="33" spans="1:1" x14ac:dyDescent="0.2">
      <c r="A33" t="s">
        <v>111</v>
      </c>
    </row>
    <row r="34" spans="1:1" x14ac:dyDescent="0.2">
      <c r="A34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D2EF-EBC4-6447-BEDA-7EF60B66C5BE}">
  <dimension ref="A1:AB42"/>
  <sheetViews>
    <sheetView showGridLines="0" workbookViewId="0">
      <selection activeCell="B37" sqref="B37"/>
    </sheetView>
  </sheetViews>
  <sheetFormatPr baseColWidth="10" defaultRowHeight="16" x14ac:dyDescent="0.2"/>
  <cols>
    <col min="1" max="1" width="4.83203125" customWidth="1"/>
    <col min="2" max="2" width="24.83203125" customWidth="1"/>
    <col min="3" max="3" width="10.6640625" customWidth="1"/>
    <col min="4" max="4" width="19" customWidth="1"/>
    <col min="5" max="5" width="13" bestFit="1" customWidth="1"/>
    <col min="6" max="6" width="15.1640625" bestFit="1" customWidth="1"/>
    <col min="7" max="7" width="5" customWidth="1"/>
    <col min="27" max="27" width="24.83203125" bestFit="1" customWidth="1"/>
    <col min="28" max="28" width="3.1640625" bestFit="1" customWidth="1"/>
  </cols>
  <sheetData>
    <row r="1" spans="1:28" ht="65" customHeight="1" x14ac:dyDescent="0.2">
      <c r="A1" s="29"/>
      <c r="B1" s="38" t="s">
        <v>121</v>
      </c>
      <c r="C1" s="38"/>
      <c r="D1" s="38"/>
      <c r="E1" s="38"/>
      <c r="F1" s="38"/>
      <c r="G1" s="30"/>
      <c r="H1" s="25"/>
      <c r="I1" s="25"/>
    </row>
    <row r="2" spans="1:28" ht="16" customHeight="1" x14ac:dyDescent="0.2">
      <c r="A2" s="27"/>
      <c r="B2" s="42" t="s">
        <v>122</v>
      </c>
      <c r="C2" s="42"/>
      <c r="D2" s="42"/>
      <c r="E2" s="42"/>
      <c r="F2" s="42"/>
      <c r="G2" s="31"/>
      <c r="H2" s="26"/>
      <c r="I2" s="26"/>
      <c r="AA2" t="s">
        <v>113</v>
      </c>
    </row>
    <row r="3" spans="1:28" ht="16" customHeight="1" x14ac:dyDescent="0.2">
      <c r="A3" s="27"/>
      <c r="B3" s="41"/>
      <c r="C3" s="41"/>
      <c r="D3" s="41"/>
      <c r="E3" s="41"/>
      <c r="F3" s="41"/>
      <c r="G3" s="28"/>
    </row>
    <row r="4" spans="1:28" ht="17" x14ac:dyDescent="0.2">
      <c r="A4" s="27"/>
      <c r="B4" s="43" t="s">
        <v>91</v>
      </c>
      <c r="C4" s="56">
        <f>COUNTIF(lake_ozarks_homeowners_v1!N:N,"&lt;&gt;")-1</f>
        <v>58</v>
      </c>
      <c r="D4" s="41"/>
      <c r="E4" s="41"/>
      <c r="F4" s="41"/>
      <c r="G4" s="28"/>
      <c r="AA4" t="s">
        <v>114</v>
      </c>
      <c r="AB4">
        <f>COUNTIF(lake_ozarks_homeowners_v1!O:O,"Premier Dock Owner")</f>
        <v>9</v>
      </c>
    </row>
    <row r="5" spans="1:28" ht="17" x14ac:dyDescent="0.2">
      <c r="A5" s="27"/>
      <c r="B5" s="43" t="s">
        <v>92</v>
      </c>
      <c r="C5" s="56">
        <f>COUNTIF(lake_ozarks_homeowners_v1!O:O,"Premier Dock Owner")</f>
        <v>9</v>
      </c>
      <c r="D5" s="41"/>
      <c r="E5" s="41"/>
      <c r="F5" s="41"/>
      <c r="G5" s="28"/>
      <c r="AA5" t="s">
        <v>115</v>
      </c>
      <c r="AB5">
        <f>COUNTIF(lake_ozarks_homeowners_v1!O:O,"High-Value Dock Owner")</f>
        <v>23</v>
      </c>
    </row>
    <row r="6" spans="1:28" ht="17" x14ac:dyDescent="0.2">
      <c r="A6" s="27"/>
      <c r="B6" s="43" t="s">
        <v>93</v>
      </c>
      <c r="C6" s="56">
        <f>COUNTIF(lake_ozarks_homeowners_v1!O:O,"High-Value Dock Owner")</f>
        <v>23</v>
      </c>
      <c r="D6" s="41"/>
      <c r="E6" s="41"/>
      <c r="F6" s="41"/>
      <c r="G6" s="28"/>
      <c r="AA6" t="s">
        <v>116</v>
      </c>
      <c r="AB6">
        <f>COUNTIF(lake_ozarks_homeowners_v1!O:O,"Waterfront / Access Prospect")</f>
        <v>26</v>
      </c>
    </row>
    <row r="7" spans="1:28" ht="34" x14ac:dyDescent="0.2">
      <c r="A7" s="27"/>
      <c r="B7" s="43" t="s">
        <v>136</v>
      </c>
      <c r="C7" s="56">
        <f>COUNTIF(lake_ozarks_homeowners_v1!O:O,"Waterfront / Access Prospect")</f>
        <v>26</v>
      </c>
      <c r="D7" s="41"/>
      <c r="E7" s="41"/>
      <c r="F7" s="41"/>
      <c r="G7" s="28"/>
    </row>
    <row r="8" spans="1:28" x14ac:dyDescent="0.2">
      <c r="A8" s="27"/>
      <c r="B8" s="43"/>
      <c r="C8" s="56"/>
      <c r="D8" s="41"/>
      <c r="E8" s="41"/>
      <c r="F8" s="41"/>
      <c r="G8" s="28"/>
    </row>
    <row r="9" spans="1:28" ht="17" x14ac:dyDescent="0.2">
      <c r="A9" s="27"/>
      <c r="B9" s="43" t="s">
        <v>94</v>
      </c>
      <c r="C9" s="56">
        <f>COUNTIF(lake_ozarks_homeowners_v1!R:R,"*Active*")</f>
        <v>29</v>
      </c>
      <c r="D9" s="41"/>
      <c r="E9" s="41"/>
      <c r="F9" s="41"/>
      <c r="G9" s="28"/>
    </row>
    <row r="10" spans="1:28" ht="17" x14ac:dyDescent="0.2">
      <c r="A10" s="27"/>
      <c r="B10" s="43" t="s">
        <v>95</v>
      </c>
      <c r="C10" s="56">
        <f>COUNTIF(lake_ozarks_homeowners_v1!R:R,"*Sold*")</f>
        <v>29</v>
      </c>
      <c r="D10" s="41"/>
      <c r="E10" s="41"/>
      <c r="F10" s="41"/>
      <c r="G10" s="28"/>
    </row>
    <row r="11" spans="1:28" x14ac:dyDescent="0.2">
      <c r="A11" s="27"/>
      <c r="B11" s="41"/>
      <c r="C11" s="57"/>
      <c r="D11" s="41"/>
      <c r="E11" s="41"/>
      <c r="F11" s="41"/>
      <c r="G11" s="28"/>
    </row>
    <row r="12" spans="1:28" x14ac:dyDescent="0.2">
      <c r="A12" s="27"/>
      <c r="B12" s="44" t="s">
        <v>128</v>
      </c>
      <c r="C12" s="57">
        <f>COUNTIF(lake_ozarks_homeowners_v1!P:P,"A")</f>
        <v>9</v>
      </c>
      <c r="D12" s="41"/>
      <c r="E12" s="41"/>
      <c r="F12" s="41"/>
      <c r="G12" s="28"/>
    </row>
    <row r="13" spans="1:28" x14ac:dyDescent="0.2">
      <c r="A13" s="27"/>
      <c r="B13" s="44" t="s">
        <v>129</v>
      </c>
      <c r="C13" s="57">
        <f>COUNTIF(lake_ozarks_homeowners_v1!P:P,"B")</f>
        <v>23</v>
      </c>
      <c r="D13" s="41"/>
      <c r="E13" s="41"/>
      <c r="F13" s="41"/>
      <c r="G13" s="28"/>
    </row>
    <row r="14" spans="1:28" x14ac:dyDescent="0.2">
      <c r="A14" s="27"/>
      <c r="B14" s="44" t="s">
        <v>130</v>
      </c>
      <c r="C14" s="57">
        <f>COUNTIF(lake_ozarks_homeowners_v1!P:P,"C")</f>
        <v>26</v>
      </c>
      <c r="D14" s="41"/>
      <c r="E14" s="41"/>
      <c r="F14" s="41"/>
      <c r="G14" s="28"/>
    </row>
    <row r="15" spans="1:28" x14ac:dyDescent="0.2">
      <c r="A15" s="27"/>
      <c r="B15" s="41"/>
      <c r="C15" s="41"/>
      <c r="D15" s="41"/>
      <c r="E15" s="41"/>
      <c r="F15" s="41"/>
      <c r="G15" s="28"/>
      <c r="P15" t="s">
        <v>126</v>
      </c>
    </row>
    <row r="16" spans="1:28" x14ac:dyDescent="0.2">
      <c r="A16" s="27"/>
      <c r="B16" s="41"/>
      <c r="C16" s="41"/>
      <c r="D16" s="41"/>
      <c r="E16" s="41"/>
      <c r="F16" s="41"/>
      <c r="G16" s="28"/>
    </row>
    <row r="17" spans="1:7" x14ac:dyDescent="0.2">
      <c r="A17" s="27"/>
      <c r="B17" s="41"/>
      <c r="C17" s="41"/>
      <c r="D17" s="41"/>
      <c r="E17" s="41"/>
      <c r="F17" s="41"/>
      <c r="G17" s="28"/>
    </row>
    <row r="18" spans="1:7" x14ac:dyDescent="0.2">
      <c r="A18" s="27"/>
      <c r="B18" s="41"/>
      <c r="C18" s="41"/>
      <c r="D18" s="41"/>
      <c r="E18" s="41"/>
      <c r="F18" s="41"/>
      <c r="G18" s="28"/>
    </row>
    <row r="19" spans="1:7" ht="24" x14ac:dyDescent="0.3">
      <c r="A19" s="27"/>
      <c r="B19" s="45" t="s">
        <v>123</v>
      </c>
      <c r="C19" s="46"/>
      <c r="D19" s="46"/>
      <c r="E19" s="46"/>
      <c r="F19" s="46"/>
      <c r="G19" s="28"/>
    </row>
    <row r="20" spans="1:7" x14ac:dyDescent="0.2">
      <c r="A20" s="27"/>
      <c r="B20" s="47" t="s">
        <v>117</v>
      </c>
      <c r="C20" s="47" t="s">
        <v>118</v>
      </c>
      <c r="D20" s="47" t="s">
        <v>119</v>
      </c>
      <c r="E20" s="47" t="s">
        <v>120</v>
      </c>
      <c r="F20" s="47" t="s">
        <v>113</v>
      </c>
      <c r="G20" s="28"/>
    </row>
    <row r="21" spans="1:7" x14ac:dyDescent="0.2">
      <c r="A21" s="27"/>
      <c r="B21" s="48" t="s">
        <v>86</v>
      </c>
      <c r="C21" s="49" t="s">
        <v>9</v>
      </c>
      <c r="D21" s="35">
        <v>6895500</v>
      </c>
      <c r="E21" s="50">
        <v>105</v>
      </c>
      <c r="F21" s="50" t="str">
        <f t="shared" ref="F21:F30" si="0">IF(D21&gt;=100,"Premier Dock Owner",IF(D21&gt;=85,"High-Value Dock Owner",IF(D21&gt;=65,"Waterfront / Access Prospect","Lower Priority")))</f>
        <v>Premier Dock Owner</v>
      </c>
      <c r="G21" s="28"/>
    </row>
    <row r="22" spans="1:7" x14ac:dyDescent="0.2">
      <c r="A22" s="27"/>
      <c r="B22" s="51" t="s">
        <v>31</v>
      </c>
      <c r="C22" s="52" t="s">
        <v>10</v>
      </c>
      <c r="D22" s="36">
        <v>6990000</v>
      </c>
      <c r="E22" s="53">
        <v>105</v>
      </c>
      <c r="F22" s="53" t="str">
        <f t="shared" si="0"/>
        <v>Premier Dock Owner</v>
      </c>
      <c r="G22" s="28"/>
    </row>
    <row r="23" spans="1:7" x14ac:dyDescent="0.2">
      <c r="A23" s="27"/>
      <c r="B23" s="48" t="s">
        <v>35</v>
      </c>
      <c r="C23" s="49" t="s">
        <v>10</v>
      </c>
      <c r="D23" s="35">
        <v>6000000</v>
      </c>
      <c r="E23" s="50">
        <v>105</v>
      </c>
      <c r="F23" s="50" t="str">
        <f t="shared" si="0"/>
        <v>Premier Dock Owner</v>
      </c>
      <c r="G23" s="28"/>
    </row>
    <row r="24" spans="1:7" x14ac:dyDescent="0.2">
      <c r="A24" s="27"/>
      <c r="B24" s="51" t="s">
        <v>39</v>
      </c>
      <c r="C24" s="52" t="s">
        <v>10</v>
      </c>
      <c r="D24" s="36">
        <v>6699000</v>
      </c>
      <c r="E24" s="53">
        <v>105</v>
      </c>
      <c r="F24" s="53" t="str">
        <f t="shared" si="0"/>
        <v>Premier Dock Owner</v>
      </c>
      <c r="G24" s="28"/>
    </row>
    <row r="25" spans="1:7" x14ac:dyDescent="0.2">
      <c r="A25" s="27"/>
      <c r="B25" s="48" t="s">
        <v>41</v>
      </c>
      <c r="C25" s="49" t="s">
        <v>10</v>
      </c>
      <c r="D25" s="35">
        <v>5950000</v>
      </c>
      <c r="E25" s="50">
        <v>105</v>
      </c>
      <c r="F25" s="50" t="str">
        <f t="shared" si="0"/>
        <v>Premier Dock Owner</v>
      </c>
      <c r="G25" s="28"/>
    </row>
    <row r="26" spans="1:7" x14ac:dyDescent="0.2">
      <c r="A26" s="27"/>
      <c r="B26" s="54" t="s">
        <v>82</v>
      </c>
      <c r="C26" s="53" t="s">
        <v>56</v>
      </c>
      <c r="D26" s="37">
        <v>4153300</v>
      </c>
      <c r="E26" s="53">
        <v>100</v>
      </c>
      <c r="F26" s="53" t="str">
        <f t="shared" si="0"/>
        <v>Premier Dock Owner</v>
      </c>
      <c r="G26" s="28"/>
    </row>
    <row r="27" spans="1:7" x14ac:dyDescent="0.2">
      <c r="A27" s="27"/>
      <c r="B27" s="48" t="s">
        <v>17</v>
      </c>
      <c r="C27" s="49" t="s">
        <v>9</v>
      </c>
      <c r="D27" s="35">
        <v>3695000</v>
      </c>
      <c r="E27" s="50">
        <v>100</v>
      </c>
      <c r="F27" s="50" t="str">
        <f t="shared" si="0"/>
        <v>Premier Dock Owner</v>
      </c>
      <c r="G27" s="28"/>
    </row>
    <row r="28" spans="1:7" x14ac:dyDescent="0.2">
      <c r="A28" s="27"/>
      <c r="B28" s="51" t="s">
        <v>25</v>
      </c>
      <c r="C28" s="52" t="s">
        <v>11</v>
      </c>
      <c r="D28" s="36">
        <v>8954000</v>
      </c>
      <c r="E28" s="53">
        <v>100</v>
      </c>
      <c r="F28" s="53" t="str">
        <f t="shared" si="0"/>
        <v>Premier Dock Owner</v>
      </c>
      <c r="G28" s="28"/>
    </row>
    <row r="29" spans="1:7" x14ac:dyDescent="0.2">
      <c r="A29" s="27"/>
      <c r="B29" s="48" t="s">
        <v>33</v>
      </c>
      <c r="C29" s="49" t="s">
        <v>10</v>
      </c>
      <c r="D29" s="35">
        <v>4950000</v>
      </c>
      <c r="E29" s="50">
        <v>100</v>
      </c>
      <c r="F29" s="50" t="str">
        <f t="shared" si="0"/>
        <v>Premier Dock Owner</v>
      </c>
      <c r="G29" s="28"/>
    </row>
    <row r="30" spans="1:7" x14ac:dyDescent="0.2">
      <c r="A30" s="27"/>
      <c r="B30" s="54" t="s">
        <v>81</v>
      </c>
      <c r="C30" s="53" t="s">
        <v>56</v>
      </c>
      <c r="D30" s="37">
        <v>2043600</v>
      </c>
      <c r="E30" s="53">
        <v>95</v>
      </c>
      <c r="F30" s="53" t="str">
        <f t="shared" si="0"/>
        <v>Premier Dock Owner</v>
      </c>
      <c r="G30" s="28"/>
    </row>
    <row r="31" spans="1:7" x14ac:dyDescent="0.2">
      <c r="A31" s="27"/>
      <c r="B31" s="41"/>
      <c r="C31" s="41"/>
      <c r="D31" s="41"/>
      <c r="E31" s="41"/>
      <c r="F31" s="41"/>
      <c r="G31" s="28"/>
    </row>
    <row r="32" spans="1:7" ht="16" customHeight="1" x14ac:dyDescent="0.2">
      <c r="A32" s="27"/>
      <c r="B32" s="55" t="s">
        <v>124</v>
      </c>
      <c r="C32" s="55"/>
      <c r="D32" s="55"/>
      <c r="E32" s="55"/>
      <c r="F32" s="55"/>
      <c r="G32" s="28"/>
    </row>
    <row r="33" spans="1:7" x14ac:dyDescent="0.2">
      <c r="A33" s="27"/>
      <c r="B33" s="55"/>
      <c r="C33" s="55"/>
      <c r="D33" s="55"/>
      <c r="E33" s="55"/>
      <c r="F33" s="55"/>
      <c r="G33" s="28"/>
    </row>
    <row r="34" spans="1:7" x14ac:dyDescent="0.2">
      <c r="A34" s="27"/>
      <c r="B34" s="41"/>
      <c r="C34" s="41"/>
      <c r="D34" s="41"/>
      <c r="E34" s="41"/>
      <c r="F34" s="41"/>
      <c r="G34" s="28"/>
    </row>
    <row r="35" spans="1:7" ht="22" x14ac:dyDescent="0.3">
      <c r="A35" s="27"/>
      <c r="B35" s="58" t="s">
        <v>131</v>
      </c>
      <c r="C35" s="59"/>
      <c r="D35" s="59"/>
      <c r="E35" s="59"/>
      <c r="F35" s="60"/>
      <c r="G35" s="28"/>
    </row>
    <row r="36" spans="1:7" x14ac:dyDescent="0.2">
      <c r="A36" s="27"/>
      <c r="B36" s="61" t="s">
        <v>132</v>
      </c>
      <c r="C36" s="62"/>
      <c r="D36" s="63">
        <f>C12</f>
        <v>9</v>
      </c>
      <c r="E36" s="62"/>
      <c r="F36" s="64"/>
      <c r="G36" s="28"/>
    </row>
    <row r="37" spans="1:7" x14ac:dyDescent="0.2">
      <c r="A37" s="27"/>
      <c r="B37" s="61" t="s">
        <v>137</v>
      </c>
      <c r="C37" s="62"/>
      <c r="D37" s="63">
        <f>C13</f>
        <v>23</v>
      </c>
      <c r="E37" s="62"/>
      <c r="F37" s="64"/>
      <c r="G37" s="28"/>
    </row>
    <row r="38" spans="1:7" x14ac:dyDescent="0.2">
      <c r="A38" s="27"/>
      <c r="B38" s="61" t="s">
        <v>133</v>
      </c>
      <c r="C38" s="62"/>
      <c r="D38" s="63">
        <f>C14</f>
        <v>26</v>
      </c>
      <c r="E38" s="62"/>
      <c r="F38" s="64"/>
      <c r="G38" s="28"/>
    </row>
    <row r="39" spans="1:7" x14ac:dyDescent="0.2">
      <c r="A39" s="27"/>
      <c r="B39" s="61"/>
      <c r="C39" s="62"/>
      <c r="D39" s="62"/>
      <c r="E39" s="62"/>
      <c r="F39" s="64"/>
      <c r="G39" s="28"/>
    </row>
    <row r="40" spans="1:7" x14ac:dyDescent="0.2">
      <c r="A40" s="27"/>
      <c r="B40" s="65" t="s">
        <v>134</v>
      </c>
      <c r="C40" s="62"/>
      <c r="D40" s="62"/>
      <c r="E40" s="62"/>
      <c r="F40" s="64"/>
      <c r="G40" s="28"/>
    </row>
    <row r="41" spans="1:7" x14ac:dyDescent="0.2">
      <c r="A41" s="27"/>
      <c r="B41" s="66" t="s">
        <v>135</v>
      </c>
      <c r="C41" s="67"/>
      <c r="D41" s="67"/>
      <c r="E41" s="67"/>
      <c r="F41" s="68"/>
      <c r="G41" s="28"/>
    </row>
    <row r="42" spans="1:7" x14ac:dyDescent="0.2">
      <c r="A42" s="32"/>
      <c r="B42" s="33"/>
      <c r="C42" s="33"/>
      <c r="D42" s="33"/>
      <c r="E42" s="33"/>
      <c r="F42" s="33"/>
      <c r="G42" s="34"/>
    </row>
  </sheetData>
  <mergeCells count="4">
    <mergeCell ref="B32:F33"/>
    <mergeCell ref="B19:F19"/>
    <mergeCell ref="B1:F1"/>
    <mergeCell ref="B2:F2"/>
  </mergeCells>
  <dataValidations count="1">
    <dataValidation type="list" allowBlank="1" showInputMessage="1" showErrorMessage="1" sqref="C21:C30" xr:uid="{C517F646-1DCC-6549-8D92-D634684CE015}">
      <formula1>"Camdenton, Lake Ozark, Osage Beach, Sunset Beach, Sunrise Beach, Linn Creek, Four Seasons, Villages"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52FC-2EC5-D547-8A50-DFBB52244460}">
  <dimension ref="A1:R68"/>
  <sheetViews>
    <sheetView showGridLines="0" tabSelected="1" zoomScaleNormal="100" workbookViewId="0">
      <selection activeCell="D5" sqref="D5"/>
    </sheetView>
  </sheetViews>
  <sheetFormatPr baseColWidth="10" defaultColWidth="5.83203125" defaultRowHeight="13" x14ac:dyDescent="0.15"/>
  <cols>
    <col min="1" max="1" width="28" style="5" customWidth="1"/>
    <col min="2" max="2" width="26.6640625" style="5" bestFit="1" customWidth="1"/>
    <col min="3" max="3" width="15.6640625" style="3" bestFit="1" customWidth="1"/>
    <col min="4" max="4" width="16.33203125" style="3" bestFit="1" customWidth="1"/>
    <col min="5" max="5" width="15.33203125" style="4" bestFit="1" customWidth="1"/>
    <col min="6" max="6" width="17" style="18" bestFit="1" customWidth="1"/>
    <col min="7" max="7" width="15.33203125" style="10" bestFit="1" customWidth="1"/>
    <col min="8" max="8" width="9.5" style="4" bestFit="1" customWidth="1"/>
    <col min="9" max="9" width="10.1640625" style="4" bestFit="1" customWidth="1"/>
    <col min="10" max="10" width="18" style="4" customWidth="1"/>
    <col min="11" max="11" width="21.1640625" style="4" customWidth="1"/>
    <col min="12" max="12" width="20.33203125" style="3" bestFit="1" customWidth="1"/>
    <col min="13" max="13" width="14.5" style="3" bestFit="1" customWidth="1"/>
    <col min="14" max="14" width="14.5" style="3" customWidth="1"/>
    <col min="15" max="15" width="21.1640625" style="3" bestFit="1" customWidth="1"/>
    <col min="16" max="16" width="16.5" style="3" bestFit="1" customWidth="1"/>
    <col min="17" max="17" width="20.5" style="3" customWidth="1"/>
    <col min="18" max="18" width="13.1640625" style="3" bestFit="1" customWidth="1"/>
    <col min="19" max="19" width="5.83203125" style="3" customWidth="1"/>
    <col min="20" max="16384" width="5.83203125" style="3"/>
  </cols>
  <sheetData>
    <row r="1" spans="1:18" ht="34" customHeight="1" x14ac:dyDescent="0.15">
      <c r="A1" s="39" t="s">
        <v>90</v>
      </c>
      <c r="B1" s="39"/>
    </row>
    <row r="2" spans="1:18" ht="16" x14ac:dyDescent="0.2">
      <c r="A2" s="22"/>
      <c r="B2" s="22"/>
    </row>
    <row r="3" spans="1:18" ht="17" x14ac:dyDescent="0.2">
      <c r="A3" s="69" t="s">
        <v>91</v>
      </c>
      <c r="B3" s="22">
        <f>COUNTIF(N:N,"&lt;&gt;")-1</f>
        <v>58</v>
      </c>
    </row>
    <row r="4" spans="1:18" ht="17" x14ac:dyDescent="0.2">
      <c r="A4" s="69" t="s">
        <v>92</v>
      </c>
      <c r="B4" s="22">
        <f>COUNTIF(O:O,"Premier Dock Owner")</f>
        <v>9</v>
      </c>
    </row>
    <row r="5" spans="1:18" ht="17" x14ac:dyDescent="0.2">
      <c r="A5" s="69" t="s">
        <v>93</v>
      </c>
      <c r="B5" s="22">
        <f>COUNTIF(O:O,"High-Value Dock Owner")</f>
        <v>23</v>
      </c>
    </row>
    <row r="6" spans="1:18" ht="17" x14ac:dyDescent="0.2">
      <c r="A6" s="69" t="s">
        <v>125</v>
      </c>
      <c r="B6" s="22">
        <f>COUNTIF(O:O,"Waterfront / Access Prospect")</f>
        <v>26</v>
      </c>
    </row>
    <row r="7" spans="1:18" ht="16" x14ac:dyDescent="0.2">
      <c r="A7" s="69"/>
      <c r="B7" s="22"/>
    </row>
    <row r="8" spans="1:18" ht="17" x14ac:dyDescent="0.2">
      <c r="A8" s="69" t="s">
        <v>94</v>
      </c>
      <c r="B8" s="22">
        <f>COUNTIF(R:R,"*Active*")</f>
        <v>29</v>
      </c>
    </row>
    <row r="9" spans="1:18" ht="17" x14ac:dyDescent="0.2">
      <c r="A9" s="69" t="s">
        <v>95</v>
      </c>
      <c r="B9" s="22">
        <f>COUNTIF(R:R,"*Sold*")</f>
        <v>29</v>
      </c>
    </row>
    <row r="10" spans="1:18" ht="14" thickBot="1" x14ac:dyDescent="0.2">
      <c r="A10" s="11" t="s">
        <v>43</v>
      </c>
      <c r="B10" s="6" t="s">
        <v>42</v>
      </c>
      <c r="C10" s="6" t="s">
        <v>4</v>
      </c>
      <c r="D10" s="6" t="s">
        <v>5</v>
      </c>
      <c r="E10" s="6" t="s">
        <v>6</v>
      </c>
      <c r="F10" s="6" t="s">
        <v>1</v>
      </c>
      <c r="G10" s="6" t="s">
        <v>2</v>
      </c>
      <c r="H10" s="6" t="s">
        <v>3</v>
      </c>
      <c r="I10" s="12" t="s">
        <v>0</v>
      </c>
      <c r="J10" s="6" t="s">
        <v>46</v>
      </c>
      <c r="K10" s="7" t="s">
        <v>53</v>
      </c>
      <c r="L10" s="13" t="s">
        <v>89</v>
      </c>
      <c r="M10" s="6" t="s">
        <v>47</v>
      </c>
      <c r="N10" s="6" t="s">
        <v>88</v>
      </c>
      <c r="O10" s="6" t="s">
        <v>48</v>
      </c>
      <c r="P10" s="6" t="s">
        <v>49</v>
      </c>
      <c r="Q10" s="6" t="s">
        <v>127</v>
      </c>
      <c r="R10" s="6" t="s">
        <v>50</v>
      </c>
    </row>
    <row r="11" spans="1:18" s="2" customFormat="1" x14ac:dyDescent="0.15">
      <c r="A11" s="14" t="s">
        <v>86</v>
      </c>
      <c r="B11" s="14"/>
      <c r="C11" s="15" t="s">
        <v>9</v>
      </c>
      <c r="D11" s="15" t="s">
        <v>8</v>
      </c>
      <c r="E11" s="15">
        <v>65049</v>
      </c>
      <c r="F11" s="4">
        <v>6</v>
      </c>
      <c r="G11" s="4">
        <v>8</v>
      </c>
      <c r="H11" s="4">
        <v>6811</v>
      </c>
      <c r="I11" s="15">
        <v>6895500</v>
      </c>
      <c r="J11" s="4">
        <f>Table13[[#This Row],[property_value]]/Table13[[#This Row],[sqft]]</f>
        <v>1012.4064014094846</v>
      </c>
      <c r="K11" s="8" t="s">
        <v>60</v>
      </c>
      <c r="L11" s="4" t="s">
        <v>44</v>
      </c>
      <c r="M11" s="4">
        <f>IF(L11="Dock",50,IF(L11="Waterfront",40,IF(L11="Access",20,0)))+IF(I11&gt;5000000,30,IF(I11&gt;2000000,25,IF(I11&gt;1000000,20,10)))+IF(H11&gt;6000,15,IF(H11&gt;4000,10,5))+IF(F11&gt;=6,10,IF(F11&gt;=4,5,0))</f>
        <v>105</v>
      </c>
      <c r="N11" s="4">
        <f>_xlfn.RANK.EQ(M11,$M$11:$M$68,0)</f>
        <v>1</v>
      </c>
      <c r="O11" s="4" t="str">
        <f t="shared" ref="O11:O42" si="0">IF(M11&gt;=100,"Premier Dock Owner",IF(M11&gt;=85,"High-Value Dock Owner",IF(M11&gt;=65,"Waterfront / Access Prospect","Lower Priority")))</f>
        <v>Premier Dock Owner</v>
      </c>
      <c r="P11" s="4" t="str">
        <f t="shared" ref="P11:P42" si="1">IF(O11="Premier Dock Owner","A",IF(O11="High-Value Dock Owner","B","C"))</f>
        <v>A</v>
      </c>
      <c r="Q11" s="4" t="str">
        <f>IF(Table13[[#This Row],[target_priority]]="A","Direct Outreach",IF(Table13[[#This Row],[target_priority]]="B","Personalized Mail Campaign","Low Priority / Monitor"))</f>
        <v>Direct Outreach</v>
      </c>
      <c r="R11" s="4" t="s">
        <v>52</v>
      </c>
    </row>
    <row r="12" spans="1:18" ht="14" x14ac:dyDescent="0.15">
      <c r="A12" s="14"/>
      <c r="B12" s="14" t="s">
        <v>31</v>
      </c>
      <c r="C12" s="15" t="s">
        <v>10</v>
      </c>
      <c r="D12" s="15" t="s">
        <v>8</v>
      </c>
      <c r="E12" s="15">
        <v>65065</v>
      </c>
      <c r="F12" s="4">
        <v>8</v>
      </c>
      <c r="G12" s="4">
        <v>10</v>
      </c>
      <c r="H12" s="4">
        <v>8297</v>
      </c>
      <c r="I12" s="16">
        <v>6990000</v>
      </c>
      <c r="J12" s="4">
        <f>Table13[[#This Row],[property_value]]/Table13[[#This Row],[sqft]]</f>
        <v>842.47318307822104</v>
      </c>
      <c r="K12" s="9"/>
      <c r="L12" s="4" t="s">
        <v>44</v>
      </c>
      <c r="M12" s="4">
        <f>IF(L12="Dock",50,IF(L12="Waterfront",40,IF(L12="Access",20,0)))+IF(I12&gt;5000000,30,IF(I12&gt;2000000,25,IF(I12&gt;1000000,20,10)))+IF(H12&gt;6000,15,IF(H12&gt;4000,10,5))+IF(F12&gt;=6,10,IF(F12&gt;=4,5,0))</f>
        <v>105</v>
      </c>
      <c r="N12" s="4">
        <f>_xlfn.RANK.EQ(M12,$M$11:$M$68,0)</f>
        <v>1</v>
      </c>
      <c r="O12" s="4" t="str">
        <f t="shared" si="0"/>
        <v>Premier Dock Owner</v>
      </c>
      <c r="P12" s="4" t="str">
        <f t="shared" si="1"/>
        <v>A</v>
      </c>
      <c r="Q12" s="40" t="str">
        <f>IF(Table13[[#This Row],[target_priority]]="A","Direct Outreach",IF(Table13[[#This Row],[target_priority]]="B","Personalized Mail Campaign","Low Priority / Monitor"))</f>
        <v>Direct Outreach</v>
      </c>
      <c r="R12" s="4" t="s">
        <v>51</v>
      </c>
    </row>
    <row r="13" spans="1:18" x14ac:dyDescent="0.15">
      <c r="A13" s="14" t="s">
        <v>35</v>
      </c>
      <c r="B13" s="14"/>
      <c r="C13" s="15" t="s">
        <v>10</v>
      </c>
      <c r="D13" s="15" t="s">
        <v>8</v>
      </c>
      <c r="E13" s="15">
        <v>65065</v>
      </c>
      <c r="F13" s="4">
        <v>6</v>
      </c>
      <c r="G13" s="4">
        <v>8</v>
      </c>
      <c r="H13" s="4">
        <v>7500</v>
      </c>
      <c r="I13" s="16">
        <v>6000000</v>
      </c>
      <c r="J13" s="4">
        <f>Table13[[#This Row],[property_value]]/Table13[[#This Row],[sqft]]</f>
        <v>800</v>
      </c>
      <c r="K13" s="9"/>
      <c r="L13" s="4" t="s">
        <v>44</v>
      </c>
      <c r="M13" s="4">
        <f>IF(L13="Dock",50,IF(L13="Waterfront",40,IF(L13="Access",20,0)))+IF(I13&gt;5000000,30,IF(I13&gt;2000000,25,IF(I13&gt;1000000,20,10)))+IF(H13&gt;6000,15,IF(H13&gt;4000,10,5))+IF(F13&gt;=6,10,IF(F13&gt;=4,5,0))</f>
        <v>105</v>
      </c>
      <c r="N13" s="4">
        <f>_xlfn.RANK.EQ(M13,$M$11:$M$68,0)</f>
        <v>1</v>
      </c>
      <c r="O13" s="4" t="str">
        <f t="shared" si="0"/>
        <v>Premier Dock Owner</v>
      </c>
      <c r="P13" s="4" t="str">
        <f t="shared" si="1"/>
        <v>A</v>
      </c>
      <c r="Q13" s="4" t="str">
        <f>IF(Table13[[#This Row],[target_priority]]="A","Direct Outreach",IF(Table13[[#This Row],[target_priority]]="B","Personalized Mail Campaign","Low Priority / Monitor"))</f>
        <v>Direct Outreach</v>
      </c>
      <c r="R13" s="4" t="s">
        <v>51</v>
      </c>
    </row>
    <row r="14" spans="1:18" x14ac:dyDescent="0.15">
      <c r="A14" s="14"/>
      <c r="B14" s="14" t="s">
        <v>39</v>
      </c>
      <c r="C14" s="15" t="s">
        <v>10</v>
      </c>
      <c r="D14" s="15" t="s">
        <v>8</v>
      </c>
      <c r="E14" s="15">
        <v>65065</v>
      </c>
      <c r="F14" s="4">
        <v>6</v>
      </c>
      <c r="G14" s="4">
        <v>9</v>
      </c>
      <c r="H14" s="4">
        <v>10030</v>
      </c>
      <c r="I14" s="15">
        <v>6699000</v>
      </c>
      <c r="J14" s="4">
        <f>Table13[[#This Row],[property_value]]/Table13[[#This Row],[sqft]]</f>
        <v>667.89631106679963</v>
      </c>
      <c r="K14" s="8"/>
      <c r="L14" s="4" t="s">
        <v>44</v>
      </c>
      <c r="M14" s="4">
        <f>IF(L14="Dock",50,IF(L14="Waterfront",40,IF(L14="Access",20,0)))+IF(I14&gt;5000000,30,IF(I14&gt;2000000,25,IF(I14&gt;1000000,20,10)))+IF(H14&gt;6000,15,IF(H14&gt;4000,10,5))+IF(F14&gt;=6,10,IF(F14&gt;=4,5,0))</f>
        <v>105</v>
      </c>
      <c r="N14" s="4">
        <f>_xlfn.RANK.EQ(M14,$M$11:$M$68,0)</f>
        <v>1</v>
      </c>
      <c r="O14" s="4" t="str">
        <f t="shared" si="0"/>
        <v>Premier Dock Owner</v>
      </c>
      <c r="P14" s="4" t="str">
        <f t="shared" si="1"/>
        <v>A</v>
      </c>
      <c r="Q14" s="4" t="str">
        <f>IF(Table13[[#This Row],[target_priority]]="A","Direct Outreach",IF(Table13[[#This Row],[target_priority]]="B","Personalized Mail Campaign","Low Priority / Monitor"))</f>
        <v>Direct Outreach</v>
      </c>
      <c r="R14" s="4" t="s">
        <v>51</v>
      </c>
    </row>
    <row r="15" spans="1:18" x14ac:dyDescent="0.15">
      <c r="A15" s="14" t="s">
        <v>41</v>
      </c>
      <c r="B15" s="14"/>
      <c r="C15" s="15" t="s">
        <v>10</v>
      </c>
      <c r="D15" s="15" t="s">
        <v>8</v>
      </c>
      <c r="E15" s="15">
        <v>65065</v>
      </c>
      <c r="F15" s="4">
        <v>7</v>
      </c>
      <c r="G15" s="4">
        <v>7</v>
      </c>
      <c r="H15" s="4">
        <v>9800</v>
      </c>
      <c r="I15" s="15">
        <v>5950000</v>
      </c>
      <c r="J15" s="4">
        <f>Table13[[#This Row],[property_value]]/Table13[[#This Row],[sqft]]</f>
        <v>607.14285714285711</v>
      </c>
      <c r="K15" s="8"/>
      <c r="L15" s="4" t="s">
        <v>44</v>
      </c>
      <c r="M15" s="4">
        <f>IF(L15="Dock",50,IF(L15="Waterfront",40,IF(L15="Access",20,0)))+IF(I15&gt;5000000,30,IF(I15&gt;2000000,25,IF(I15&gt;1000000,20,10)))+IF(H15&gt;6000,15,IF(H15&gt;4000,10,5))+IF(F15&gt;=6,10,IF(F15&gt;=4,5,0))</f>
        <v>105</v>
      </c>
      <c r="N15" s="4">
        <f>_xlfn.RANK.EQ(M15,$M$11:$M$68,0)</f>
        <v>1</v>
      </c>
      <c r="O15" s="4" t="str">
        <f t="shared" si="0"/>
        <v>Premier Dock Owner</v>
      </c>
      <c r="P15" s="4" t="str">
        <f t="shared" si="1"/>
        <v>A</v>
      </c>
      <c r="Q15" s="4" t="str">
        <f>IF(Table13[[#This Row],[target_priority]]="A","Direct Outreach",IF(Table13[[#This Row],[target_priority]]="B","Personalized Mail Campaign","Low Priority / Monitor"))</f>
        <v>Direct Outreach</v>
      </c>
      <c r="R15" s="4" t="s">
        <v>51</v>
      </c>
    </row>
    <row r="16" spans="1:18" x14ac:dyDescent="0.15">
      <c r="A16" s="20" t="s">
        <v>82</v>
      </c>
      <c r="B16" s="17"/>
      <c r="C16" s="4" t="s">
        <v>56</v>
      </c>
      <c r="D16" s="15" t="s">
        <v>8</v>
      </c>
      <c r="E16" s="15">
        <v>65079</v>
      </c>
      <c r="F16" s="4">
        <v>7</v>
      </c>
      <c r="G16" s="4">
        <v>9</v>
      </c>
      <c r="H16" s="4">
        <v>8067</v>
      </c>
      <c r="I16" s="18">
        <v>4153300</v>
      </c>
      <c r="J16" s="4">
        <f>Table13[[#This Row],[property_value]]/Table13[[#This Row],[sqft]]</f>
        <v>514.85062600718982</v>
      </c>
      <c r="K16" s="10" t="s">
        <v>60</v>
      </c>
      <c r="L16" s="4" t="s">
        <v>44</v>
      </c>
      <c r="M16" s="4">
        <f>IF(L16="Dock",50,IF(L16="Waterfront",40,IF(L16="Access",20,0)))+IF(I16&gt;5000000,30,IF(I16&gt;2000000,25,IF(I16&gt;1000000,20,10)))+IF(H16&gt;6000,15,IF(H16&gt;4000,10,5))+IF(F16&gt;=6,10,IF(F16&gt;=4,5,0))</f>
        <v>100</v>
      </c>
      <c r="N16" s="4">
        <f>_xlfn.RANK.EQ(M16,$M$11:$M$68,0)</f>
        <v>6</v>
      </c>
      <c r="O16" s="4" t="str">
        <f t="shared" si="0"/>
        <v>Premier Dock Owner</v>
      </c>
      <c r="P16" s="4" t="str">
        <f t="shared" si="1"/>
        <v>A</v>
      </c>
      <c r="Q16" s="4" t="str">
        <f>IF(Table13[[#This Row],[target_priority]]="A","Direct Outreach",IF(Table13[[#This Row],[target_priority]]="B","Personalized Mail Campaign","Low Priority / Monitor"))</f>
        <v>Direct Outreach</v>
      </c>
      <c r="R16" s="4" t="s">
        <v>52</v>
      </c>
    </row>
    <row r="17" spans="1:18" x14ac:dyDescent="0.15">
      <c r="A17" s="14" t="s">
        <v>17</v>
      </c>
      <c r="B17" s="14"/>
      <c r="C17" s="15" t="s">
        <v>9</v>
      </c>
      <c r="D17" s="15" t="s">
        <v>8</v>
      </c>
      <c r="E17" s="15">
        <v>65049</v>
      </c>
      <c r="F17" s="4">
        <v>8</v>
      </c>
      <c r="G17" s="4">
        <v>7</v>
      </c>
      <c r="H17" s="4">
        <v>6058</v>
      </c>
      <c r="I17" s="15">
        <v>3695000</v>
      </c>
      <c r="J17" s="4">
        <f>Table13[[#This Row],[property_value]]/Table13[[#This Row],[sqft]]</f>
        <v>609.93727302740183</v>
      </c>
      <c r="K17" s="8"/>
      <c r="L17" s="4" t="s">
        <v>44</v>
      </c>
      <c r="M17" s="4">
        <f>IF(L17="Dock",50,IF(L17="Waterfront",40,IF(L17="Access",20,0)))+IF(I17&gt;5000000,30,IF(I17&gt;2000000,25,IF(I17&gt;1000000,20,10)))+IF(H17&gt;6000,15,IF(H17&gt;4000,10,5))+IF(F17&gt;=6,10,IF(F17&gt;=4,5,0))</f>
        <v>100</v>
      </c>
      <c r="N17" s="4">
        <f>_xlfn.RANK.EQ(M17,$M$11:$M$68,0)</f>
        <v>6</v>
      </c>
      <c r="O17" s="4" t="str">
        <f t="shared" si="0"/>
        <v>Premier Dock Owner</v>
      </c>
      <c r="P17" s="4" t="str">
        <f t="shared" si="1"/>
        <v>A</v>
      </c>
      <c r="Q17" s="4" t="str">
        <f>IF(Table13[[#This Row],[target_priority]]="A","Direct Outreach",IF(Table13[[#This Row],[target_priority]]="B","Personalized Mail Campaign","Low Priority / Monitor"))</f>
        <v>Direct Outreach</v>
      </c>
      <c r="R17" s="4" t="s">
        <v>51</v>
      </c>
    </row>
    <row r="18" spans="1:18" x14ac:dyDescent="0.15">
      <c r="A18" s="14" t="s">
        <v>25</v>
      </c>
      <c r="B18" s="14"/>
      <c r="C18" s="15" t="s">
        <v>11</v>
      </c>
      <c r="D18" s="15" t="s">
        <v>8</v>
      </c>
      <c r="E18" s="15">
        <v>65079</v>
      </c>
      <c r="F18" s="4">
        <v>5</v>
      </c>
      <c r="G18" s="4">
        <v>6</v>
      </c>
      <c r="H18" s="4">
        <v>10300</v>
      </c>
      <c r="I18" s="15">
        <v>8954000</v>
      </c>
      <c r="J18" s="4">
        <f>Table13[[#This Row],[property_value]]/Table13[[#This Row],[sqft]]</f>
        <v>869.32038834951459</v>
      </c>
      <c r="K18" s="8"/>
      <c r="L18" s="4" t="s">
        <v>44</v>
      </c>
      <c r="M18" s="4">
        <f>IF(L18="Dock",50,IF(L18="Waterfront",40,IF(L18="Access",20,0)))+IF(I18&gt;5000000,30,IF(I18&gt;2000000,25,IF(I18&gt;1000000,20,10)))+IF(H18&gt;6000,15,IF(H18&gt;4000,10,5))+IF(F18&gt;=6,10,IF(F18&gt;=4,5,0))</f>
        <v>100</v>
      </c>
      <c r="N18" s="4">
        <f>_xlfn.RANK.EQ(M18,$M$11:$M$68,0)</f>
        <v>6</v>
      </c>
      <c r="O18" s="4" t="str">
        <f t="shared" si="0"/>
        <v>Premier Dock Owner</v>
      </c>
      <c r="P18" s="4" t="str">
        <f t="shared" si="1"/>
        <v>A</v>
      </c>
      <c r="Q18" s="4" t="str">
        <f>IF(Table13[[#This Row],[target_priority]]="A","Direct Outreach",IF(Table13[[#This Row],[target_priority]]="B","Personalized Mail Campaign","Low Priority / Monitor"))</f>
        <v>Direct Outreach</v>
      </c>
      <c r="R18" s="4" t="s">
        <v>51</v>
      </c>
    </row>
    <row r="19" spans="1:18" x14ac:dyDescent="0.15">
      <c r="A19" s="14" t="s">
        <v>33</v>
      </c>
      <c r="B19" s="14"/>
      <c r="C19" s="15" t="s">
        <v>10</v>
      </c>
      <c r="D19" s="15" t="s">
        <v>8</v>
      </c>
      <c r="E19" s="15">
        <v>65065</v>
      </c>
      <c r="F19" s="4">
        <v>6</v>
      </c>
      <c r="G19" s="4">
        <v>7</v>
      </c>
      <c r="H19" s="4">
        <v>7315</v>
      </c>
      <c r="I19" s="16">
        <v>4950000</v>
      </c>
      <c r="J19" s="4">
        <f>Table13[[#This Row],[property_value]]/Table13[[#This Row],[sqft]]</f>
        <v>676.69172932330832</v>
      </c>
      <c r="K19" s="9"/>
      <c r="L19" s="4" t="s">
        <v>44</v>
      </c>
      <c r="M19" s="4">
        <f>IF(L19="Dock",50,IF(L19="Waterfront",40,IF(L19="Access",20,0)))+IF(I19&gt;5000000,30,IF(I19&gt;2000000,25,IF(I19&gt;1000000,20,10)))+IF(H19&gt;6000,15,IF(H19&gt;4000,10,5))+IF(F19&gt;=6,10,IF(F19&gt;=4,5,0))</f>
        <v>100</v>
      </c>
      <c r="N19" s="4">
        <f>_xlfn.RANK.EQ(M19,$M$11:$M$68,0)</f>
        <v>6</v>
      </c>
      <c r="O19" s="4" t="str">
        <f t="shared" si="0"/>
        <v>Premier Dock Owner</v>
      </c>
      <c r="P19" s="4" t="str">
        <f t="shared" si="1"/>
        <v>A</v>
      </c>
      <c r="Q19" s="4" t="str">
        <f>IF(Table13[[#This Row],[target_priority]]="A","Direct Outreach",IF(Table13[[#This Row],[target_priority]]="B","Personalized Mail Campaign","Low Priority / Monitor"))</f>
        <v>Direct Outreach</v>
      </c>
      <c r="R19" s="4" t="s">
        <v>51</v>
      </c>
    </row>
    <row r="20" spans="1:18" x14ac:dyDescent="0.15">
      <c r="A20" s="20" t="s">
        <v>81</v>
      </c>
      <c r="B20" s="17"/>
      <c r="C20" s="4" t="s">
        <v>56</v>
      </c>
      <c r="D20" s="15" t="s">
        <v>8</v>
      </c>
      <c r="E20" s="15">
        <v>65079</v>
      </c>
      <c r="F20" s="4">
        <v>6</v>
      </c>
      <c r="G20" s="4">
        <v>5</v>
      </c>
      <c r="H20" s="4">
        <v>4334</v>
      </c>
      <c r="I20" s="18">
        <v>2043600</v>
      </c>
      <c r="J20" s="4">
        <f>Table13[[#This Row],[property_value]]/Table13[[#This Row],[sqft]]</f>
        <v>471.52745731425932</v>
      </c>
      <c r="K20" s="10" t="s">
        <v>60</v>
      </c>
      <c r="L20" s="4" t="s">
        <v>44</v>
      </c>
      <c r="M20" s="4">
        <f>IF(L20="Dock",50,IF(L20="Waterfront",40,IF(L20="Access",20,0)))+IF(I20&gt;5000000,30,IF(I20&gt;2000000,25,IF(I20&gt;1000000,20,10)))+IF(H20&gt;6000,15,IF(H20&gt;4000,10,5))+IF(F20&gt;=6,10,IF(F20&gt;=4,5,0))</f>
        <v>95</v>
      </c>
      <c r="N20" s="4">
        <f>_xlfn.RANK.EQ(M20,$M$11:$M$68,0)</f>
        <v>10</v>
      </c>
      <c r="O20" s="4" t="str">
        <f t="shared" si="0"/>
        <v>High-Value Dock Owner</v>
      </c>
      <c r="P20" s="4" t="str">
        <f t="shared" si="1"/>
        <v>B</v>
      </c>
      <c r="Q20" s="4" t="str">
        <f>IF(Table13[[#This Row],[target_priority]]="A","Direct Outreach",IF(Table13[[#This Row],[target_priority]]="B","Personalized Mail Campaign","Low Priority / Monitor"))</f>
        <v>Personalized Mail Campaign</v>
      </c>
      <c r="R20" s="4" t="s">
        <v>52</v>
      </c>
    </row>
    <row r="21" spans="1:18" x14ac:dyDescent="0.15">
      <c r="A21" s="14" t="s">
        <v>28</v>
      </c>
      <c r="B21" s="14"/>
      <c r="C21" s="15" t="s">
        <v>11</v>
      </c>
      <c r="D21" s="15" t="s">
        <v>8</v>
      </c>
      <c r="E21" s="15">
        <v>65079</v>
      </c>
      <c r="F21" s="4">
        <v>5</v>
      </c>
      <c r="G21" s="4">
        <v>5</v>
      </c>
      <c r="H21" s="4">
        <v>5431</v>
      </c>
      <c r="I21" s="15">
        <v>5500000</v>
      </c>
      <c r="J21" s="4">
        <f>Table13[[#This Row],[property_value]]/Table13[[#This Row],[sqft]]</f>
        <v>1012.704842570429</v>
      </c>
      <c r="K21" s="8"/>
      <c r="L21" s="4" t="s">
        <v>44</v>
      </c>
      <c r="M21" s="4">
        <f>IF(L21="Dock",50,IF(L21="Waterfront",40,IF(L21="Access",20,0)))+IF(I21&gt;5000000,30,IF(I21&gt;2000000,25,IF(I21&gt;1000000,20,10)))+IF(H21&gt;6000,15,IF(H21&gt;4000,10,5))+IF(F21&gt;=6,10,IF(F21&gt;=4,5,0))</f>
        <v>95</v>
      </c>
      <c r="N21" s="4">
        <f>_xlfn.RANK.EQ(M21,$M$11:$M$68,0)</f>
        <v>10</v>
      </c>
      <c r="O21" s="4" t="str">
        <f t="shared" si="0"/>
        <v>High-Value Dock Owner</v>
      </c>
      <c r="P21" s="4" t="str">
        <f t="shared" si="1"/>
        <v>B</v>
      </c>
      <c r="Q21" s="4" t="str">
        <f>IF(Table13[[#This Row],[target_priority]]="A","Direct Outreach",IF(Table13[[#This Row],[target_priority]]="B","Personalized Mail Campaign","Low Priority / Monitor"))</f>
        <v>Personalized Mail Campaign</v>
      </c>
      <c r="R21" s="4" t="s">
        <v>51</v>
      </c>
    </row>
    <row r="22" spans="1:18" x14ac:dyDescent="0.15">
      <c r="A22" s="14" t="s">
        <v>30</v>
      </c>
      <c r="B22" s="14"/>
      <c r="C22" s="15" t="s">
        <v>11</v>
      </c>
      <c r="D22" s="15" t="s">
        <v>8</v>
      </c>
      <c r="E22" s="15">
        <v>65079</v>
      </c>
      <c r="F22" s="4">
        <v>6</v>
      </c>
      <c r="G22" s="4">
        <v>6</v>
      </c>
      <c r="H22" s="4">
        <v>4834</v>
      </c>
      <c r="I22" s="15">
        <v>2490000</v>
      </c>
      <c r="J22" s="4">
        <f>Table13[[#This Row],[property_value]]/Table13[[#This Row],[sqft]]</f>
        <v>515.10136532892011</v>
      </c>
      <c r="K22" s="8"/>
      <c r="L22" s="4" t="s">
        <v>44</v>
      </c>
      <c r="M22" s="4">
        <f>IF(L22="Dock",50,IF(L22="Waterfront",40,IF(L22="Access",20,0)))+IF(I22&gt;5000000,30,IF(I22&gt;2000000,25,IF(I22&gt;1000000,20,10)))+IF(H22&gt;6000,15,IF(H22&gt;4000,10,5))+IF(F22&gt;=6,10,IF(F22&gt;=4,5,0))</f>
        <v>95</v>
      </c>
      <c r="N22" s="4">
        <f>_xlfn.RANK.EQ(M22,$M$11:$M$68,0)</f>
        <v>10</v>
      </c>
      <c r="O22" s="4" t="str">
        <f t="shared" si="0"/>
        <v>High-Value Dock Owner</v>
      </c>
      <c r="P22" s="4" t="str">
        <f t="shared" si="1"/>
        <v>B</v>
      </c>
      <c r="Q22" s="4" t="str">
        <f>IF(Table13[[#This Row],[target_priority]]="A","Direct Outreach",IF(Table13[[#This Row],[target_priority]]="B","Personalized Mail Campaign","Low Priority / Monitor"))</f>
        <v>Personalized Mail Campaign</v>
      </c>
      <c r="R22" s="4" t="s">
        <v>51</v>
      </c>
    </row>
    <row r="23" spans="1:18" x14ac:dyDescent="0.15">
      <c r="A23" s="14" t="s">
        <v>34</v>
      </c>
      <c r="B23" s="14"/>
      <c r="C23" s="15" t="s">
        <v>10</v>
      </c>
      <c r="D23" s="15" t="s">
        <v>8</v>
      </c>
      <c r="E23" s="15">
        <v>65065</v>
      </c>
      <c r="F23" s="4">
        <v>4</v>
      </c>
      <c r="G23" s="4">
        <v>5</v>
      </c>
      <c r="H23" s="4">
        <v>6600</v>
      </c>
      <c r="I23" s="16">
        <v>2250000</v>
      </c>
      <c r="J23" s="4">
        <f>Table13[[#This Row],[property_value]]/Table13[[#This Row],[sqft]]</f>
        <v>340.90909090909093</v>
      </c>
      <c r="K23" s="9"/>
      <c r="L23" s="4" t="s">
        <v>44</v>
      </c>
      <c r="M23" s="4">
        <f>IF(L23="Dock",50,IF(L23="Waterfront",40,IF(L23="Access",20,0)))+IF(I23&gt;5000000,30,IF(I23&gt;2000000,25,IF(I23&gt;1000000,20,10)))+IF(H23&gt;6000,15,IF(H23&gt;4000,10,5))+IF(F23&gt;=6,10,IF(F23&gt;=4,5,0))</f>
        <v>95</v>
      </c>
      <c r="N23" s="4">
        <f>_xlfn.RANK.EQ(M23,$M$11:$M$68,0)</f>
        <v>10</v>
      </c>
      <c r="O23" s="4" t="str">
        <f t="shared" si="0"/>
        <v>High-Value Dock Owner</v>
      </c>
      <c r="P23" s="4" t="str">
        <f t="shared" si="1"/>
        <v>B</v>
      </c>
      <c r="Q23" s="4" t="str">
        <f>IF(Table13[[#This Row],[target_priority]]="A","Direct Outreach",IF(Table13[[#This Row],[target_priority]]="B","Personalized Mail Campaign","Low Priority / Monitor"))</f>
        <v>Personalized Mail Campaign</v>
      </c>
      <c r="R23" s="4" t="s">
        <v>51</v>
      </c>
    </row>
    <row r="24" spans="1:18" x14ac:dyDescent="0.15">
      <c r="A24" s="14" t="s">
        <v>36</v>
      </c>
      <c r="B24" s="14"/>
      <c r="C24" s="15" t="s">
        <v>13</v>
      </c>
      <c r="D24" s="15" t="s">
        <v>8</v>
      </c>
      <c r="E24" s="15">
        <v>65079</v>
      </c>
      <c r="F24" s="4">
        <v>6</v>
      </c>
      <c r="G24" s="4">
        <v>6</v>
      </c>
      <c r="H24" s="4">
        <v>5300</v>
      </c>
      <c r="I24" s="16">
        <v>3450000</v>
      </c>
      <c r="J24" s="4">
        <f>Table13[[#This Row],[property_value]]/Table13[[#This Row],[sqft]]</f>
        <v>650.94339622641508</v>
      </c>
      <c r="K24" s="9"/>
      <c r="L24" s="4" t="s">
        <v>44</v>
      </c>
      <c r="M24" s="4">
        <f>IF(L24="Dock",50,IF(L24="Waterfront",40,IF(L24="Access",20,0)))+IF(I24&gt;5000000,30,IF(I24&gt;2000000,25,IF(I24&gt;1000000,20,10)))+IF(H24&gt;6000,15,IF(H24&gt;4000,10,5))+IF(F24&gt;=6,10,IF(F24&gt;=4,5,0))</f>
        <v>95</v>
      </c>
      <c r="N24" s="4">
        <f>_xlfn.RANK.EQ(M24,$M$11:$M$68,0)</f>
        <v>10</v>
      </c>
      <c r="O24" s="4" t="str">
        <f t="shared" si="0"/>
        <v>High-Value Dock Owner</v>
      </c>
      <c r="P24" s="4" t="str">
        <f t="shared" si="1"/>
        <v>B</v>
      </c>
      <c r="Q24" s="4" t="str">
        <f>IF(Table13[[#This Row],[target_priority]]="A","Direct Outreach",IF(Table13[[#This Row],[target_priority]]="B","Personalized Mail Campaign","Low Priority / Monitor"))</f>
        <v>Personalized Mail Campaign</v>
      </c>
      <c r="R24" s="4" t="s">
        <v>51</v>
      </c>
    </row>
    <row r="25" spans="1:18" x14ac:dyDescent="0.15">
      <c r="A25" s="20" t="s">
        <v>63</v>
      </c>
      <c r="B25" s="14"/>
      <c r="C25" s="15" t="s">
        <v>56</v>
      </c>
      <c r="D25" s="15" t="s">
        <v>8</v>
      </c>
      <c r="E25" s="15">
        <v>65079</v>
      </c>
      <c r="F25" s="4">
        <v>4</v>
      </c>
      <c r="G25" s="4">
        <v>5</v>
      </c>
      <c r="H25" s="4">
        <v>5710</v>
      </c>
      <c r="I25" s="15">
        <v>3271600</v>
      </c>
      <c r="J25" s="4">
        <f>Table13[[#This Row],[property_value]]/Table13[[#This Row],[sqft]]</f>
        <v>572.95971978984244</v>
      </c>
      <c r="K25" s="8" t="s">
        <v>60</v>
      </c>
      <c r="L25" s="4" t="s">
        <v>44</v>
      </c>
      <c r="M25" s="4">
        <f>IF(L25="Dock",50,IF(L25="Waterfront",40,IF(L25="Access",20,0)))+IF(I25&gt;5000000,30,IF(I25&gt;2000000,25,IF(I25&gt;1000000,20,10)))+IF(H25&gt;6000,15,IF(H25&gt;4000,10,5))+IF(F25&gt;=6,10,IF(F25&gt;=4,5,0))</f>
        <v>90</v>
      </c>
      <c r="N25" s="4">
        <f>_xlfn.RANK.EQ(M25,$M$11:$M$68,0)</f>
        <v>15</v>
      </c>
      <c r="O25" s="4" t="str">
        <f t="shared" si="0"/>
        <v>High-Value Dock Owner</v>
      </c>
      <c r="P25" s="4" t="str">
        <f t="shared" si="1"/>
        <v>B</v>
      </c>
      <c r="Q25" s="4" t="str">
        <f>IF(Table13[[#This Row],[target_priority]]="A","Direct Outreach",IF(Table13[[#This Row],[target_priority]]="B","Personalized Mail Campaign","Low Priority / Monitor"))</f>
        <v>Personalized Mail Campaign</v>
      </c>
      <c r="R25" s="4" t="s">
        <v>52</v>
      </c>
    </row>
    <row r="26" spans="1:18" x14ac:dyDescent="0.15">
      <c r="A26" s="20" t="s">
        <v>66</v>
      </c>
      <c r="B26" s="14"/>
      <c r="C26" s="15" t="s">
        <v>56</v>
      </c>
      <c r="D26" s="15" t="s">
        <v>8</v>
      </c>
      <c r="E26" s="15">
        <v>65079</v>
      </c>
      <c r="F26" s="4">
        <v>4</v>
      </c>
      <c r="G26" s="4">
        <v>5</v>
      </c>
      <c r="H26" s="4">
        <v>5105</v>
      </c>
      <c r="I26" s="21">
        <v>2249900</v>
      </c>
      <c r="J26" s="4">
        <f>Table13[[#This Row],[property_value]]/Table13[[#This Row],[sqft]]</f>
        <v>440.72477962781585</v>
      </c>
      <c r="K26" s="10" t="s">
        <v>67</v>
      </c>
      <c r="L26" s="4" t="s">
        <v>44</v>
      </c>
      <c r="M26" s="4">
        <f>IF(L26="Dock",50,IF(L26="Waterfront",40,IF(L26="Access",20,0)))+IF(I26&gt;5000000,30,IF(I26&gt;2000000,25,IF(I26&gt;1000000,20,10)))+IF(H26&gt;6000,15,IF(H26&gt;4000,10,5))+IF(F26&gt;=6,10,IF(F26&gt;=4,5,0))</f>
        <v>90</v>
      </c>
      <c r="N26" s="4">
        <f>_xlfn.RANK.EQ(M26,$M$11:$M$68,0)</f>
        <v>15</v>
      </c>
      <c r="O26" s="4" t="str">
        <f t="shared" si="0"/>
        <v>High-Value Dock Owner</v>
      </c>
      <c r="P26" s="4" t="str">
        <f t="shared" si="1"/>
        <v>B</v>
      </c>
      <c r="Q26" s="4" t="str">
        <f>IF(Table13[[#This Row],[target_priority]]="A","Direct Outreach",IF(Table13[[#This Row],[target_priority]]="B","Personalized Mail Campaign","Low Priority / Monitor"))</f>
        <v>Personalized Mail Campaign</v>
      </c>
      <c r="R26" s="4" t="s">
        <v>52</v>
      </c>
    </row>
    <row r="27" spans="1:18" x14ac:dyDescent="0.15">
      <c r="A27" s="20" t="s">
        <v>79</v>
      </c>
      <c r="B27" s="17"/>
      <c r="C27" s="15" t="s">
        <v>56</v>
      </c>
      <c r="D27" s="15" t="s">
        <v>8</v>
      </c>
      <c r="E27" s="15">
        <v>65079</v>
      </c>
      <c r="F27" s="4">
        <v>6</v>
      </c>
      <c r="G27" s="4">
        <v>7</v>
      </c>
      <c r="H27" s="4">
        <v>4864</v>
      </c>
      <c r="I27" s="15">
        <v>1905500</v>
      </c>
      <c r="J27" s="4">
        <f>Table13[[#This Row],[property_value]]/Table13[[#This Row],[sqft]]</f>
        <v>391.75575657894734</v>
      </c>
      <c r="K27" s="8" t="s">
        <v>60</v>
      </c>
      <c r="L27" s="4" t="s">
        <v>44</v>
      </c>
      <c r="M27" s="4">
        <f>IF(L27="Dock",50,IF(L27="Waterfront",40,IF(L27="Access",20,0)))+IF(I27&gt;5000000,30,IF(I27&gt;2000000,25,IF(I27&gt;1000000,20,10)))+IF(H27&gt;6000,15,IF(H27&gt;4000,10,5))+IF(F27&gt;=6,10,IF(F27&gt;=4,5,0))</f>
        <v>90</v>
      </c>
      <c r="N27" s="4">
        <f>_xlfn.RANK.EQ(M27,$M$11:$M$68,0)</f>
        <v>15</v>
      </c>
      <c r="O27" s="4" t="str">
        <f t="shared" si="0"/>
        <v>High-Value Dock Owner</v>
      </c>
      <c r="P27" s="4" t="str">
        <f t="shared" si="1"/>
        <v>B</v>
      </c>
      <c r="Q27" s="4" t="str">
        <f>IF(Table13[[#This Row],[target_priority]]="A","Direct Outreach",IF(Table13[[#This Row],[target_priority]]="B","Personalized Mail Campaign","Low Priority / Monitor"))</f>
        <v>Personalized Mail Campaign</v>
      </c>
      <c r="R27" s="4" t="s">
        <v>52</v>
      </c>
    </row>
    <row r="28" spans="1:18" x14ac:dyDescent="0.15">
      <c r="A28" s="17" t="s">
        <v>83</v>
      </c>
      <c r="B28" s="17"/>
      <c r="C28" s="15" t="s">
        <v>56</v>
      </c>
      <c r="D28" s="15" t="s">
        <v>8</v>
      </c>
      <c r="E28" s="4">
        <v>65079</v>
      </c>
      <c r="F28" s="4">
        <v>4</v>
      </c>
      <c r="G28" s="4">
        <v>5</v>
      </c>
      <c r="H28" s="4">
        <v>4415</v>
      </c>
      <c r="I28" s="18">
        <v>2014900</v>
      </c>
      <c r="J28" s="4">
        <f>Table13[[#This Row],[property_value]]/Table13[[#This Row],[sqft]]</f>
        <v>456.37599093997733</v>
      </c>
      <c r="K28" s="10" t="s">
        <v>60</v>
      </c>
      <c r="L28" s="4" t="s">
        <v>44</v>
      </c>
      <c r="M28" s="4">
        <f>IF(L28="Dock",50,IF(L28="Waterfront",40,IF(L28="Access",20,0)))+IF(I28&gt;5000000,30,IF(I28&gt;2000000,25,IF(I28&gt;1000000,20,10)))+IF(H28&gt;6000,15,IF(H28&gt;4000,10,5))+IF(F28&gt;=6,10,IF(F28&gt;=4,5,0))</f>
        <v>90</v>
      </c>
      <c r="N28" s="4">
        <f>_xlfn.RANK.EQ(M28,$M$11:$M$68,0)</f>
        <v>15</v>
      </c>
      <c r="O28" s="4" t="str">
        <f t="shared" si="0"/>
        <v>High-Value Dock Owner</v>
      </c>
      <c r="P28" s="4" t="str">
        <f t="shared" si="1"/>
        <v>B</v>
      </c>
      <c r="Q28" s="4" t="str">
        <f>IF(Table13[[#This Row],[target_priority]]="A","Direct Outreach",IF(Table13[[#This Row],[target_priority]]="B","Personalized Mail Campaign","Low Priority / Monitor"))</f>
        <v>Personalized Mail Campaign</v>
      </c>
      <c r="R28" s="4" t="s">
        <v>52</v>
      </c>
    </row>
    <row r="29" spans="1:18" x14ac:dyDescent="0.15">
      <c r="A29" s="14" t="s">
        <v>14</v>
      </c>
      <c r="B29" s="14"/>
      <c r="C29" s="15" t="s">
        <v>9</v>
      </c>
      <c r="D29" s="15" t="s">
        <v>8</v>
      </c>
      <c r="E29" s="15">
        <v>65049</v>
      </c>
      <c r="F29" s="4">
        <v>5</v>
      </c>
      <c r="G29" s="4">
        <v>6</v>
      </c>
      <c r="H29" s="4">
        <v>4200</v>
      </c>
      <c r="I29" s="15">
        <v>2485000</v>
      </c>
      <c r="J29" s="4">
        <f>Table13[[#This Row],[property_value]]/Table13[[#This Row],[sqft]]</f>
        <v>591.66666666666663</v>
      </c>
      <c r="K29" s="8"/>
      <c r="L29" s="4" t="s">
        <v>44</v>
      </c>
      <c r="M29" s="4">
        <f>IF(L29="Dock",50,IF(L29="Waterfront",40,IF(L29="Access",20,0)))+IF(I29&gt;5000000,30,IF(I29&gt;2000000,25,IF(I29&gt;1000000,20,10)))+IF(H29&gt;6000,15,IF(H29&gt;4000,10,5))+IF(F29&gt;=6,10,IF(F29&gt;=4,5,0))</f>
        <v>90</v>
      </c>
      <c r="N29" s="4">
        <f>_xlfn.RANK.EQ(M29,$M$11:$M$68,0)</f>
        <v>15</v>
      </c>
      <c r="O29" s="4" t="str">
        <f t="shared" si="0"/>
        <v>High-Value Dock Owner</v>
      </c>
      <c r="P29" s="4" t="str">
        <f t="shared" si="1"/>
        <v>B</v>
      </c>
      <c r="Q29" s="4" t="str">
        <f>IF(Table13[[#This Row],[target_priority]]="A","Direct Outreach",IF(Table13[[#This Row],[target_priority]]="B","Personalized Mail Campaign","Low Priority / Monitor"))</f>
        <v>Personalized Mail Campaign</v>
      </c>
      <c r="R29" s="4" t="s">
        <v>51</v>
      </c>
    </row>
    <row r="30" spans="1:18" x14ac:dyDescent="0.15">
      <c r="A30" s="14" t="s">
        <v>19</v>
      </c>
      <c r="B30" s="14"/>
      <c r="C30" s="15" t="s">
        <v>9</v>
      </c>
      <c r="D30" s="15" t="s">
        <v>8</v>
      </c>
      <c r="E30" s="15">
        <v>65049</v>
      </c>
      <c r="F30" s="4">
        <v>5</v>
      </c>
      <c r="G30" s="4">
        <v>6</v>
      </c>
      <c r="H30" s="4">
        <v>6340</v>
      </c>
      <c r="I30" s="15">
        <v>1950000</v>
      </c>
      <c r="J30" s="4">
        <f>Table13[[#This Row],[property_value]]/Table13[[#This Row],[sqft]]</f>
        <v>307.57097791798105</v>
      </c>
      <c r="K30" s="8"/>
      <c r="L30" s="4" t="s">
        <v>44</v>
      </c>
      <c r="M30" s="4">
        <f>IF(L30="Dock",50,IF(L30="Waterfront",40,IF(L30="Access",20,0)))+IF(I30&gt;5000000,30,IF(I30&gt;2000000,25,IF(I30&gt;1000000,20,10)))+IF(H30&gt;6000,15,IF(H30&gt;4000,10,5))+IF(F30&gt;=6,10,IF(F30&gt;=4,5,0))</f>
        <v>90</v>
      </c>
      <c r="N30" s="4">
        <f>_xlfn.RANK.EQ(M30,$M$11:$M$68,0)</f>
        <v>15</v>
      </c>
      <c r="O30" s="4" t="str">
        <f t="shared" si="0"/>
        <v>High-Value Dock Owner</v>
      </c>
      <c r="P30" s="4" t="str">
        <f t="shared" si="1"/>
        <v>B</v>
      </c>
      <c r="Q30" s="4" t="str">
        <f>IF(Table13[[#This Row],[target_priority]]="A","Direct Outreach",IF(Table13[[#This Row],[target_priority]]="B","Personalized Mail Campaign","Low Priority / Monitor"))</f>
        <v>Personalized Mail Campaign</v>
      </c>
      <c r="R30" s="4" t="s">
        <v>51</v>
      </c>
    </row>
    <row r="31" spans="1:18" x14ac:dyDescent="0.15">
      <c r="A31" s="14" t="s">
        <v>21</v>
      </c>
      <c r="B31" s="14"/>
      <c r="C31" s="15" t="s">
        <v>9</v>
      </c>
      <c r="D31" s="15" t="s">
        <v>8</v>
      </c>
      <c r="E31" s="15">
        <v>65049</v>
      </c>
      <c r="F31" s="4">
        <v>8</v>
      </c>
      <c r="G31" s="4">
        <v>7</v>
      </c>
      <c r="H31" s="4">
        <v>5800</v>
      </c>
      <c r="I31" s="15">
        <v>1995000</v>
      </c>
      <c r="J31" s="4">
        <f>Table13[[#This Row],[property_value]]/Table13[[#This Row],[sqft]]</f>
        <v>343.9655172413793</v>
      </c>
      <c r="K31" s="8"/>
      <c r="L31" s="4" t="s">
        <v>44</v>
      </c>
      <c r="M31" s="4">
        <f>IF(L31="Dock",50,IF(L31="Waterfront",40,IF(L31="Access",20,0)))+IF(I31&gt;5000000,30,IF(I31&gt;2000000,25,IF(I31&gt;1000000,20,10)))+IF(H31&gt;6000,15,IF(H31&gt;4000,10,5))+IF(F31&gt;=6,10,IF(F31&gt;=4,5,0))</f>
        <v>90</v>
      </c>
      <c r="N31" s="4">
        <f>_xlfn.RANK.EQ(M31,$M$11:$M$68,0)</f>
        <v>15</v>
      </c>
      <c r="O31" s="4" t="str">
        <f t="shared" si="0"/>
        <v>High-Value Dock Owner</v>
      </c>
      <c r="P31" s="4" t="str">
        <f t="shared" si="1"/>
        <v>B</v>
      </c>
      <c r="Q31" s="4" t="str">
        <f>IF(Table13[[#This Row],[target_priority]]="A","Direct Outreach",IF(Table13[[#This Row],[target_priority]]="B","Personalized Mail Campaign","Low Priority / Monitor"))</f>
        <v>Personalized Mail Campaign</v>
      </c>
      <c r="R31" s="4" t="s">
        <v>51</v>
      </c>
    </row>
    <row r="32" spans="1:18" x14ac:dyDescent="0.15">
      <c r="A32" s="14" t="s">
        <v>29</v>
      </c>
      <c r="B32" s="14"/>
      <c r="C32" s="15" t="s">
        <v>11</v>
      </c>
      <c r="D32" s="15" t="s">
        <v>8</v>
      </c>
      <c r="E32" s="15">
        <v>65079</v>
      </c>
      <c r="F32" s="4">
        <v>9</v>
      </c>
      <c r="G32" s="4">
        <v>11</v>
      </c>
      <c r="H32" s="4">
        <v>5742</v>
      </c>
      <c r="I32" s="16">
        <v>1839900</v>
      </c>
      <c r="J32" s="4">
        <f>Table13[[#This Row],[property_value]]/Table13[[#This Row],[sqft]]</f>
        <v>320.42842215256007</v>
      </c>
      <c r="K32" s="9"/>
      <c r="L32" s="4" t="s">
        <v>44</v>
      </c>
      <c r="M32" s="4">
        <f>IF(L32="Dock",50,IF(L32="Waterfront",40,IF(L32="Access",20,0)))+IF(I32&gt;5000000,30,IF(I32&gt;2000000,25,IF(I32&gt;1000000,20,10)))+IF(H32&gt;6000,15,IF(H32&gt;4000,10,5))+IF(F32&gt;=6,10,IF(F32&gt;=4,5,0))</f>
        <v>90</v>
      </c>
      <c r="N32" s="4">
        <f>_xlfn.RANK.EQ(M32,$M$11:$M$68,0)</f>
        <v>15</v>
      </c>
      <c r="O32" s="4" t="str">
        <f t="shared" si="0"/>
        <v>High-Value Dock Owner</v>
      </c>
      <c r="P32" s="4" t="str">
        <f t="shared" si="1"/>
        <v>B</v>
      </c>
      <c r="Q32" s="4" t="str">
        <f>IF(Table13[[#This Row],[target_priority]]="A","Direct Outreach",IF(Table13[[#This Row],[target_priority]]="B","Personalized Mail Campaign","Low Priority / Monitor"))</f>
        <v>Personalized Mail Campaign</v>
      </c>
      <c r="R32" s="4" t="s">
        <v>51</v>
      </c>
    </row>
    <row r="33" spans="1:18" x14ac:dyDescent="0.15">
      <c r="A33" s="14" t="s">
        <v>40</v>
      </c>
      <c r="B33" s="14"/>
      <c r="C33" s="15" t="s">
        <v>11</v>
      </c>
      <c r="D33" s="15" t="s">
        <v>8</v>
      </c>
      <c r="E33" s="15">
        <v>65079</v>
      </c>
      <c r="F33" s="4">
        <v>5</v>
      </c>
      <c r="G33" s="4">
        <v>5</v>
      </c>
      <c r="H33" s="4">
        <v>4616</v>
      </c>
      <c r="I33" s="15">
        <v>2895000</v>
      </c>
      <c r="J33" s="4">
        <f>Table13[[#This Row],[property_value]]/Table13[[#This Row],[sqft]]</f>
        <v>627.16637781629117</v>
      </c>
      <c r="K33" s="8"/>
      <c r="L33" s="4" t="s">
        <v>44</v>
      </c>
      <c r="M33" s="4">
        <f>IF(L33="Dock",50,IF(L33="Waterfront",40,IF(L33="Access",20,0)))+IF(I33&gt;5000000,30,IF(I33&gt;2000000,25,IF(I33&gt;1000000,20,10)))+IF(H33&gt;6000,15,IF(H33&gt;4000,10,5))+IF(F33&gt;=6,10,IF(F33&gt;=4,5,0))</f>
        <v>90</v>
      </c>
      <c r="N33" s="4">
        <f>_xlfn.RANK.EQ(M33,$M$11:$M$68,0)</f>
        <v>15</v>
      </c>
      <c r="O33" s="4" t="str">
        <f t="shared" si="0"/>
        <v>High-Value Dock Owner</v>
      </c>
      <c r="P33" s="4" t="str">
        <f t="shared" si="1"/>
        <v>B</v>
      </c>
      <c r="Q33" s="4" t="str">
        <f>IF(Table13[[#This Row],[target_priority]]="A","Direct Outreach",IF(Table13[[#This Row],[target_priority]]="B","Personalized Mail Campaign","Low Priority / Monitor"))</f>
        <v>Personalized Mail Campaign</v>
      </c>
      <c r="R33" s="4" t="s">
        <v>51</v>
      </c>
    </row>
    <row r="34" spans="1:18" x14ac:dyDescent="0.15">
      <c r="A34" s="20" t="s">
        <v>54</v>
      </c>
      <c r="B34" s="14"/>
      <c r="C34" s="15" t="s">
        <v>9</v>
      </c>
      <c r="D34" s="15" t="s">
        <v>8</v>
      </c>
      <c r="E34" s="15">
        <v>65049</v>
      </c>
      <c r="F34" s="4">
        <v>5</v>
      </c>
      <c r="G34" s="4">
        <v>5</v>
      </c>
      <c r="H34" s="4">
        <v>5000</v>
      </c>
      <c r="I34" s="19">
        <v>1694900</v>
      </c>
      <c r="J34" s="4">
        <f>Table13[[#This Row],[property_value]]/Table13[[#This Row],[sqft]]</f>
        <v>338.98</v>
      </c>
      <c r="K34" s="9" t="s">
        <v>60</v>
      </c>
      <c r="L34" s="4" t="s">
        <v>44</v>
      </c>
      <c r="M34" s="4">
        <f>IF(L34="Dock",50,IF(L34="Waterfront",40,IF(L34="Access",20,0)))+IF(I34&gt;5000000,30,IF(I34&gt;2000000,25,IF(I34&gt;1000000,20,10)))+IF(H34&gt;6000,15,IF(H34&gt;4000,10,5))+IF(F34&gt;=6,10,IF(F34&gt;=4,5,0))</f>
        <v>85</v>
      </c>
      <c r="N34" s="4">
        <f>_xlfn.RANK.EQ(M34,$M$11:$M$68,0)</f>
        <v>24</v>
      </c>
      <c r="O34" s="4" t="str">
        <f t="shared" si="0"/>
        <v>High-Value Dock Owner</v>
      </c>
      <c r="P34" s="4" t="str">
        <f t="shared" si="1"/>
        <v>B</v>
      </c>
      <c r="Q34" s="4" t="str">
        <f>IF(Table13[[#This Row],[target_priority]]="A","Direct Outreach",IF(Table13[[#This Row],[target_priority]]="B","Personalized Mail Campaign","Low Priority / Monitor"))</f>
        <v>Personalized Mail Campaign</v>
      </c>
      <c r="R34" s="4" t="s">
        <v>52</v>
      </c>
    </row>
    <row r="35" spans="1:18" x14ac:dyDescent="0.15">
      <c r="A35" s="17" t="s">
        <v>57</v>
      </c>
      <c r="B35" s="17"/>
      <c r="C35" s="4" t="s">
        <v>56</v>
      </c>
      <c r="D35" s="15" t="s">
        <v>8</v>
      </c>
      <c r="E35" s="15">
        <v>65079</v>
      </c>
      <c r="F35" s="4">
        <v>5</v>
      </c>
      <c r="G35" s="4">
        <v>5</v>
      </c>
      <c r="H35" s="4">
        <v>4746</v>
      </c>
      <c r="I35" s="15">
        <v>1149800</v>
      </c>
      <c r="J35" s="4">
        <f>Table13[[#This Row],[property_value]]/Table13[[#This Row],[sqft]]</f>
        <v>242.26717235566792</v>
      </c>
      <c r="K35" s="9" t="s">
        <v>60</v>
      </c>
      <c r="L35" s="4" t="s">
        <v>44</v>
      </c>
      <c r="M35" s="4">
        <f>IF(L35="Dock",50,IF(L35="Waterfront",40,IF(L35="Access",20,0)))+IF(I35&gt;5000000,30,IF(I35&gt;2000000,25,IF(I35&gt;1000000,20,10)))+IF(H35&gt;6000,15,IF(H35&gt;4000,10,5))+IF(F35&gt;=6,10,IF(F35&gt;=4,5,0))</f>
        <v>85</v>
      </c>
      <c r="N35" s="4">
        <f>_xlfn.RANK.EQ(M35,$M$11:$M$68,0)</f>
        <v>24</v>
      </c>
      <c r="O35" s="4" t="str">
        <f t="shared" si="0"/>
        <v>High-Value Dock Owner</v>
      </c>
      <c r="P35" s="4" t="str">
        <f t="shared" si="1"/>
        <v>B</v>
      </c>
      <c r="Q35" s="4" t="str">
        <f>IF(Table13[[#This Row],[target_priority]]="A","Direct Outreach",IF(Table13[[#This Row],[target_priority]]="B","Personalized Mail Campaign","Low Priority / Monitor"))</f>
        <v>Personalized Mail Campaign</v>
      </c>
      <c r="R35" s="4" t="s">
        <v>52</v>
      </c>
    </row>
    <row r="36" spans="1:18" x14ac:dyDescent="0.15">
      <c r="A36" s="14" t="s">
        <v>65</v>
      </c>
      <c r="B36" s="14"/>
      <c r="C36" s="15" t="s">
        <v>12</v>
      </c>
      <c r="D36" s="15" t="s">
        <v>8</v>
      </c>
      <c r="E36" s="15">
        <v>65049</v>
      </c>
      <c r="F36" s="4">
        <v>5</v>
      </c>
      <c r="G36" s="4">
        <v>5</v>
      </c>
      <c r="H36" s="4">
        <v>5765</v>
      </c>
      <c r="I36" s="15">
        <v>1288900</v>
      </c>
      <c r="J36" s="4">
        <f>Table13[[#This Row],[property_value]]/Table13[[#This Row],[sqft]]</f>
        <v>223.57328707718995</v>
      </c>
      <c r="K36" s="8" t="s">
        <v>60</v>
      </c>
      <c r="L36" s="4" t="s">
        <v>44</v>
      </c>
      <c r="M36" s="4">
        <f>IF(L36="Dock",50,IF(L36="Waterfront",40,IF(L36="Access",20,0)))+IF(I36&gt;5000000,30,IF(I36&gt;2000000,25,IF(I36&gt;1000000,20,10)))+IF(H36&gt;6000,15,IF(H36&gt;4000,10,5))+IF(F36&gt;=6,10,IF(F36&gt;=4,5,0))</f>
        <v>85</v>
      </c>
      <c r="N36" s="4">
        <f>_xlfn.RANK.EQ(M36,$M$11:$M$68,0)</f>
        <v>24</v>
      </c>
      <c r="O36" s="4" t="str">
        <f t="shared" si="0"/>
        <v>High-Value Dock Owner</v>
      </c>
      <c r="P36" s="4" t="str">
        <f t="shared" si="1"/>
        <v>B</v>
      </c>
      <c r="Q36" s="4" t="str">
        <f>IF(Table13[[#This Row],[target_priority]]="A","Direct Outreach",IF(Table13[[#This Row],[target_priority]]="B","Personalized Mail Campaign","Low Priority / Monitor"))</f>
        <v>Personalized Mail Campaign</v>
      </c>
      <c r="R36" s="4" t="s">
        <v>52</v>
      </c>
    </row>
    <row r="37" spans="1:18" x14ac:dyDescent="0.15">
      <c r="A37" s="20" t="s">
        <v>72</v>
      </c>
      <c r="B37" s="14"/>
      <c r="C37" s="15" t="s">
        <v>71</v>
      </c>
      <c r="D37" s="15" t="s">
        <v>8</v>
      </c>
      <c r="E37" s="15">
        <v>65052</v>
      </c>
      <c r="F37" s="4">
        <v>5</v>
      </c>
      <c r="G37" s="4">
        <v>4</v>
      </c>
      <c r="H37" s="4">
        <v>4400</v>
      </c>
      <c r="I37" s="18">
        <v>1059800</v>
      </c>
      <c r="J37" s="4">
        <f>Table13[[#This Row],[property_value]]/Table13[[#This Row],[sqft]]</f>
        <v>240.86363636363637</v>
      </c>
      <c r="K37" s="10" t="s">
        <v>60</v>
      </c>
      <c r="L37" s="4" t="s">
        <v>44</v>
      </c>
      <c r="M37" s="4">
        <f>IF(L37="Dock",50,IF(L37="Waterfront",40,IF(L37="Access",20,0)))+IF(I37&gt;5000000,30,IF(I37&gt;2000000,25,IF(I37&gt;1000000,20,10)))+IF(H37&gt;6000,15,IF(H37&gt;4000,10,5))+IF(F37&gt;=6,10,IF(F37&gt;=4,5,0))</f>
        <v>85</v>
      </c>
      <c r="N37" s="4">
        <f>_xlfn.RANK.EQ(M37,$M$11:$M$68,0)</f>
        <v>24</v>
      </c>
      <c r="O37" s="4" t="str">
        <f t="shared" si="0"/>
        <v>High-Value Dock Owner</v>
      </c>
      <c r="P37" s="4" t="str">
        <f t="shared" si="1"/>
        <v>B</v>
      </c>
      <c r="Q37" s="4" t="str">
        <f>IF(Table13[[#This Row],[target_priority]]="A","Direct Outreach",IF(Table13[[#This Row],[target_priority]]="B","Personalized Mail Campaign","Low Priority / Monitor"))</f>
        <v>Personalized Mail Campaign</v>
      </c>
      <c r="R37" s="4" t="s">
        <v>52</v>
      </c>
    </row>
    <row r="38" spans="1:18" x14ac:dyDescent="0.15">
      <c r="A38" s="20" t="s">
        <v>84</v>
      </c>
      <c r="B38" s="14"/>
      <c r="C38" s="15" t="s">
        <v>9</v>
      </c>
      <c r="D38" s="15" t="s">
        <v>8</v>
      </c>
      <c r="E38" s="15">
        <v>65049</v>
      </c>
      <c r="F38" s="4">
        <v>5</v>
      </c>
      <c r="G38" s="4">
        <v>6</v>
      </c>
      <c r="H38" s="4">
        <v>4575</v>
      </c>
      <c r="I38" s="15">
        <v>1639800</v>
      </c>
      <c r="J38" s="4">
        <f>Table13[[#This Row],[property_value]]/Table13[[#This Row],[sqft]]</f>
        <v>358.42622950819674</v>
      </c>
      <c r="K38" s="8" t="s">
        <v>60</v>
      </c>
      <c r="L38" s="4" t="s">
        <v>44</v>
      </c>
      <c r="M38" s="4">
        <f>IF(L38="Dock",50,IF(L38="Waterfront",40,IF(L38="Access",20,0)))+IF(I38&gt;5000000,30,IF(I38&gt;2000000,25,IF(I38&gt;1000000,20,10)))+IF(H38&gt;6000,15,IF(H38&gt;4000,10,5))+IF(F38&gt;=6,10,IF(F38&gt;=4,5,0))</f>
        <v>85</v>
      </c>
      <c r="N38" s="4">
        <f>_xlfn.RANK.EQ(M38,$M$11:$M$68,0)</f>
        <v>24</v>
      </c>
      <c r="O38" s="4" t="str">
        <f t="shared" si="0"/>
        <v>High-Value Dock Owner</v>
      </c>
      <c r="P38" s="4" t="str">
        <f t="shared" si="1"/>
        <v>B</v>
      </c>
      <c r="Q38" s="4" t="str">
        <f>IF(Table13[[#This Row],[target_priority]]="A","Direct Outreach",IF(Table13[[#This Row],[target_priority]]="B","Personalized Mail Campaign","Low Priority / Monitor"))</f>
        <v>Personalized Mail Campaign</v>
      </c>
      <c r="R38" s="4" t="s">
        <v>52</v>
      </c>
    </row>
    <row r="39" spans="1:18" x14ac:dyDescent="0.15">
      <c r="A39" s="20" t="s">
        <v>87</v>
      </c>
      <c r="B39" s="14"/>
      <c r="C39" s="15" t="s">
        <v>9</v>
      </c>
      <c r="D39" s="15" t="s">
        <v>8</v>
      </c>
      <c r="E39" s="15">
        <v>65049</v>
      </c>
      <c r="F39" s="4">
        <v>4</v>
      </c>
      <c r="G39" s="4">
        <v>5</v>
      </c>
      <c r="H39" s="4">
        <v>4368</v>
      </c>
      <c r="I39" s="15">
        <v>1517500</v>
      </c>
      <c r="J39" s="4">
        <f>Table13[[#This Row],[property_value]]/Table13[[#This Row],[sqft]]</f>
        <v>347.41300366300368</v>
      </c>
      <c r="K39" s="8" t="s">
        <v>60</v>
      </c>
      <c r="L39" s="4" t="s">
        <v>44</v>
      </c>
      <c r="M39" s="4">
        <f>IF(L39="Dock",50,IF(L39="Waterfront",40,IF(L39="Access",20,0)))+IF(I39&gt;5000000,30,IF(I39&gt;2000000,25,IF(I39&gt;1000000,20,10)))+IF(H39&gt;6000,15,IF(H39&gt;4000,10,5))+IF(F39&gt;=6,10,IF(F39&gt;=4,5,0))</f>
        <v>85</v>
      </c>
      <c r="N39" s="4">
        <f>_xlfn.RANK.EQ(M39,$M$11:$M$68,0)</f>
        <v>24</v>
      </c>
      <c r="O39" s="4" t="str">
        <f t="shared" si="0"/>
        <v>High-Value Dock Owner</v>
      </c>
      <c r="P39" s="4" t="str">
        <f t="shared" si="1"/>
        <v>B</v>
      </c>
      <c r="Q39" s="4" t="str">
        <f>IF(Table13[[#This Row],[target_priority]]="A","Direct Outreach",IF(Table13[[#This Row],[target_priority]]="B","Personalized Mail Campaign","Low Priority / Monitor"))</f>
        <v>Personalized Mail Campaign</v>
      </c>
      <c r="R39" s="4" t="s">
        <v>52</v>
      </c>
    </row>
    <row r="40" spans="1:18" x14ac:dyDescent="0.15">
      <c r="A40" s="20" t="s">
        <v>65</v>
      </c>
      <c r="B40" s="17"/>
      <c r="C40" s="4" t="s">
        <v>12</v>
      </c>
      <c r="D40" s="15" t="s">
        <v>8</v>
      </c>
      <c r="E40" s="4">
        <v>65049</v>
      </c>
      <c r="F40" s="4">
        <v>5</v>
      </c>
      <c r="G40" s="4">
        <v>5</v>
      </c>
      <c r="H40" s="4">
        <v>5765</v>
      </c>
      <c r="I40" s="15">
        <v>1288900</v>
      </c>
      <c r="J40" s="4">
        <f>Table13[[#This Row],[property_value]]/Table13[[#This Row],[sqft]]</f>
        <v>223.57328707718995</v>
      </c>
      <c r="K40" s="8" t="s">
        <v>60</v>
      </c>
      <c r="L40" s="4" t="s">
        <v>44</v>
      </c>
      <c r="M40" s="4">
        <f>IF(L40="Dock",50,IF(L40="Waterfront",40,IF(L40="Access",20,0)))+IF(I40&gt;5000000,30,IF(I40&gt;2000000,25,IF(I40&gt;1000000,20,10)))+IF(H40&gt;6000,15,IF(H40&gt;4000,10,5))+IF(F40&gt;=6,10,IF(F40&gt;=4,5,0))</f>
        <v>85</v>
      </c>
      <c r="N40" s="4">
        <f>_xlfn.RANK.EQ(M40,$M$11:$M$68,0)</f>
        <v>24</v>
      </c>
      <c r="O40" s="4" t="str">
        <f t="shared" si="0"/>
        <v>High-Value Dock Owner</v>
      </c>
      <c r="P40" s="4" t="str">
        <f t="shared" si="1"/>
        <v>B</v>
      </c>
      <c r="Q40" s="4" t="str">
        <f>IF(Table13[[#This Row],[target_priority]]="A","Direct Outreach",IF(Table13[[#This Row],[target_priority]]="B","Personalized Mail Campaign","Low Priority / Monitor"))</f>
        <v>Personalized Mail Campaign</v>
      </c>
      <c r="R40" s="4" t="s">
        <v>52</v>
      </c>
    </row>
    <row r="41" spans="1:18" x14ac:dyDescent="0.15">
      <c r="A41" s="14" t="s">
        <v>15</v>
      </c>
      <c r="B41" s="14"/>
      <c r="C41" s="15" t="s">
        <v>9</v>
      </c>
      <c r="D41" s="15" t="s">
        <v>8</v>
      </c>
      <c r="E41" s="15">
        <v>65049</v>
      </c>
      <c r="F41" s="4">
        <v>5</v>
      </c>
      <c r="G41" s="4">
        <v>7</v>
      </c>
      <c r="H41" s="4">
        <v>3950</v>
      </c>
      <c r="I41" s="15">
        <v>2320000</v>
      </c>
      <c r="J41" s="4">
        <f>Table13[[#This Row],[property_value]]/Table13[[#This Row],[sqft]]</f>
        <v>587.34177215189868</v>
      </c>
      <c r="K41" s="8"/>
      <c r="L41" s="4" t="s">
        <v>44</v>
      </c>
      <c r="M41" s="4">
        <f>IF(L41="Dock",50,IF(L41="Waterfront",40,IF(L41="Access",20,0)))+IF(I41&gt;5000000,30,IF(I41&gt;2000000,25,IF(I41&gt;1000000,20,10)))+IF(H41&gt;6000,15,IF(H41&gt;4000,10,5))+IF(F41&gt;=6,10,IF(F41&gt;=4,5,0))</f>
        <v>85</v>
      </c>
      <c r="N41" s="4">
        <f>_xlfn.RANK.EQ(M41,$M$11:$M$68,0)</f>
        <v>24</v>
      </c>
      <c r="O41" s="4" t="str">
        <f t="shared" si="0"/>
        <v>High-Value Dock Owner</v>
      </c>
      <c r="P41" s="4" t="str">
        <f t="shared" si="1"/>
        <v>B</v>
      </c>
      <c r="Q41" s="4" t="str">
        <f>IF(Table13[[#This Row],[target_priority]]="A","Direct Outreach",IF(Table13[[#This Row],[target_priority]]="B","Personalized Mail Campaign","Low Priority / Monitor"))</f>
        <v>Personalized Mail Campaign</v>
      </c>
      <c r="R41" s="4" t="s">
        <v>51</v>
      </c>
    </row>
    <row r="42" spans="1:18" x14ac:dyDescent="0.15">
      <c r="A42" s="14" t="s">
        <v>24</v>
      </c>
      <c r="B42" s="14"/>
      <c r="C42" s="15" t="s">
        <v>10</v>
      </c>
      <c r="D42" s="15" t="s">
        <v>8</v>
      </c>
      <c r="E42" s="15">
        <v>65065</v>
      </c>
      <c r="F42" s="4">
        <v>6</v>
      </c>
      <c r="G42" s="4">
        <v>6</v>
      </c>
      <c r="H42" s="4">
        <v>3903</v>
      </c>
      <c r="I42" s="16">
        <v>1599000</v>
      </c>
      <c r="J42" s="4">
        <f>Table13[[#This Row],[property_value]]/Table13[[#This Row],[sqft]]</f>
        <v>409.68485780169101</v>
      </c>
      <c r="K42" s="9"/>
      <c r="L42" s="4" t="s">
        <v>44</v>
      </c>
      <c r="M42" s="4">
        <f>IF(L42="Dock",50,IF(L42="Waterfront",40,IF(L42="Access",20,0)))+IF(I42&gt;5000000,30,IF(I42&gt;2000000,25,IF(I42&gt;1000000,20,10)))+IF(H42&gt;6000,15,IF(H42&gt;4000,10,5))+IF(F42&gt;=6,10,IF(F42&gt;=4,5,0))</f>
        <v>85</v>
      </c>
      <c r="N42" s="4">
        <f>_xlfn.RANK.EQ(M42,$M$11:$M$68,0)</f>
        <v>24</v>
      </c>
      <c r="O42" s="4" t="str">
        <f t="shared" si="0"/>
        <v>High-Value Dock Owner</v>
      </c>
      <c r="P42" s="4" t="str">
        <f t="shared" si="1"/>
        <v>B</v>
      </c>
      <c r="Q42" s="4" t="str">
        <f>IF(Table13[[#This Row],[target_priority]]="A","Direct Outreach",IF(Table13[[#This Row],[target_priority]]="B","Personalized Mail Campaign","Low Priority / Monitor"))</f>
        <v>Personalized Mail Campaign</v>
      </c>
      <c r="R42" s="4" t="s">
        <v>51</v>
      </c>
    </row>
    <row r="43" spans="1:18" x14ac:dyDescent="0.15">
      <c r="A43" s="20" t="s">
        <v>55</v>
      </c>
      <c r="B43" s="14"/>
      <c r="C43" s="15" t="s">
        <v>56</v>
      </c>
      <c r="D43" s="15" t="s">
        <v>8</v>
      </c>
      <c r="E43" s="15">
        <v>65079</v>
      </c>
      <c r="F43" s="4">
        <v>4</v>
      </c>
      <c r="G43" s="4">
        <v>5</v>
      </c>
      <c r="H43" s="4">
        <v>3500</v>
      </c>
      <c r="I43" s="15">
        <v>1295100</v>
      </c>
      <c r="J43" s="4">
        <f>Table13[[#This Row],[property_value]]/Table13[[#This Row],[sqft]]</f>
        <v>370.02857142857141</v>
      </c>
      <c r="K43" s="9" t="s">
        <v>60</v>
      </c>
      <c r="L43" s="4" t="s">
        <v>44</v>
      </c>
      <c r="M43" s="4">
        <f>IF(L43="Dock",50,IF(L43="Waterfront",40,IF(L43="Access",20,0)))+IF(I43&gt;5000000,30,IF(I43&gt;2000000,25,IF(I43&gt;1000000,20,10)))+IF(H43&gt;6000,15,IF(H43&gt;4000,10,5))+IF(F43&gt;=6,10,IF(F43&gt;=4,5,0))</f>
        <v>80</v>
      </c>
      <c r="N43" s="4">
        <f>_xlfn.RANK.EQ(M43,$M$11:$M$68,0)</f>
        <v>33</v>
      </c>
      <c r="O43" s="4" t="str">
        <f t="shared" ref="O43:O68" si="2">IF(M43&gt;=100,"Premier Dock Owner",IF(M43&gt;=85,"High-Value Dock Owner",IF(M43&gt;=65,"Waterfront / Access Prospect","Lower Priority")))</f>
        <v>Waterfront / Access Prospect</v>
      </c>
      <c r="P43" s="4" t="str">
        <f t="shared" ref="P43:P68" si="3">IF(O43="Premier Dock Owner","A",IF(O43="High-Value Dock Owner","B","C"))</f>
        <v>C</v>
      </c>
      <c r="Q43" s="4" t="str">
        <f>IF(Table13[[#This Row],[target_priority]]="A","Direct Outreach",IF(Table13[[#This Row],[target_priority]]="B","Personalized Mail Campaign","Low Priority / Monitor"))</f>
        <v>Low Priority / Monitor</v>
      </c>
      <c r="R43" s="4" t="s">
        <v>52</v>
      </c>
    </row>
    <row r="44" spans="1:18" x14ac:dyDescent="0.15">
      <c r="A44" s="20" t="s">
        <v>64</v>
      </c>
      <c r="B44" s="14"/>
      <c r="C44" s="15" t="s">
        <v>10</v>
      </c>
      <c r="D44" s="15" t="s">
        <v>8</v>
      </c>
      <c r="E44" s="15">
        <v>65079</v>
      </c>
      <c r="F44" s="4">
        <v>5</v>
      </c>
      <c r="G44" s="4">
        <v>4</v>
      </c>
      <c r="H44" s="4">
        <v>2856</v>
      </c>
      <c r="I44" s="15">
        <v>1095600</v>
      </c>
      <c r="J44" s="4">
        <f>Table13[[#This Row],[property_value]]/Table13[[#This Row],[sqft]]</f>
        <v>383.61344537815125</v>
      </c>
      <c r="K44" s="8" t="s">
        <v>60</v>
      </c>
      <c r="L44" s="4" t="s">
        <v>44</v>
      </c>
      <c r="M44" s="4">
        <f>IF(L44="Dock",50,IF(L44="Waterfront",40,IF(L44="Access",20,0)))+IF(I44&gt;5000000,30,IF(I44&gt;2000000,25,IF(I44&gt;1000000,20,10)))+IF(H44&gt;6000,15,IF(H44&gt;4000,10,5))+IF(F44&gt;=6,10,IF(F44&gt;=4,5,0))</f>
        <v>80</v>
      </c>
      <c r="N44" s="4">
        <f>_xlfn.RANK.EQ(M44,$M$11:$M$68,0)</f>
        <v>33</v>
      </c>
      <c r="O44" s="4" t="str">
        <f t="shared" si="2"/>
        <v>Waterfront / Access Prospect</v>
      </c>
      <c r="P44" s="4" t="str">
        <f t="shared" si="3"/>
        <v>C</v>
      </c>
      <c r="Q44" s="4" t="str">
        <f>IF(Table13[[#This Row],[target_priority]]="A","Direct Outreach",IF(Table13[[#This Row],[target_priority]]="B","Personalized Mail Campaign","Low Priority / Monitor"))</f>
        <v>Low Priority / Monitor</v>
      </c>
      <c r="R44" s="4" t="s">
        <v>52</v>
      </c>
    </row>
    <row r="45" spans="1:18" x14ac:dyDescent="0.15">
      <c r="A45" s="1" t="s">
        <v>74</v>
      </c>
      <c r="B45" s="14"/>
      <c r="C45" s="15" t="s">
        <v>75</v>
      </c>
      <c r="D45" s="15" t="s">
        <v>8</v>
      </c>
      <c r="E45" s="15">
        <v>65020</v>
      </c>
      <c r="F45" s="4">
        <v>4</v>
      </c>
      <c r="G45" s="4">
        <v>4</v>
      </c>
      <c r="H45" s="4">
        <v>3150</v>
      </c>
      <c r="I45" s="15">
        <v>1025000</v>
      </c>
      <c r="J45" s="4">
        <f>Table13[[#This Row],[property_value]]/Table13[[#This Row],[sqft]]</f>
        <v>325.39682539682542</v>
      </c>
      <c r="K45" s="8" t="s">
        <v>60</v>
      </c>
      <c r="L45" s="4" t="s">
        <v>44</v>
      </c>
      <c r="M45" s="4">
        <f>IF(L45="Dock",50,IF(L45="Waterfront",40,IF(L45="Access",20,0)))+IF(I45&gt;5000000,30,IF(I45&gt;2000000,25,IF(I45&gt;1000000,20,10)))+IF(H45&gt;6000,15,IF(H45&gt;4000,10,5))+IF(F45&gt;=6,10,IF(F45&gt;=4,5,0))</f>
        <v>80</v>
      </c>
      <c r="N45" s="4">
        <f>_xlfn.RANK.EQ(M45,$M$11:$M$68,0)</f>
        <v>33</v>
      </c>
      <c r="O45" s="4" t="str">
        <f t="shared" si="2"/>
        <v>Waterfront / Access Prospect</v>
      </c>
      <c r="P45" s="4" t="str">
        <f t="shared" si="3"/>
        <v>C</v>
      </c>
      <c r="Q45" s="4" t="str">
        <f>IF(Table13[[#This Row],[target_priority]]="A","Direct Outreach",IF(Table13[[#This Row],[target_priority]]="B","Personalized Mail Campaign","Low Priority / Monitor"))</f>
        <v>Low Priority / Monitor</v>
      </c>
      <c r="R45" s="4" t="s">
        <v>52</v>
      </c>
    </row>
    <row r="46" spans="1:18" x14ac:dyDescent="0.15">
      <c r="A46" s="20" t="s">
        <v>76</v>
      </c>
      <c r="B46" s="14"/>
      <c r="C46" s="15" t="s">
        <v>75</v>
      </c>
      <c r="D46" s="15" t="s">
        <v>8</v>
      </c>
      <c r="E46" s="15">
        <v>65065</v>
      </c>
      <c r="F46" s="4">
        <v>4</v>
      </c>
      <c r="G46" s="4">
        <v>3</v>
      </c>
      <c r="H46" s="4">
        <v>3300</v>
      </c>
      <c r="I46" s="18">
        <v>1341900</v>
      </c>
      <c r="J46" s="4">
        <f>Table13[[#This Row],[property_value]]/Table13[[#This Row],[sqft]]</f>
        <v>406.63636363636363</v>
      </c>
      <c r="K46" s="10" t="s">
        <v>60</v>
      </c>
      <c r="L46" s="4" t="s">
        <v>44</v>
      </c>
      <c r="M46" s="4">
        <f>IF(L46="Dock",50,IF(L46="Waterfront",40,IF(L46="Access",20,0)))+IF(I46&gt;5000000,30,IF(I46&gt;2000000,25,IF(I46&gt;1000000,20,10)))+IF(H46&gt;6000,15,IF(H46&gt;4000,10,5))+IF(F46&gt;=6,10,IF(F46&gt;=4,5,0))</f>
        <v>80</v>
      </c>
      <c r="N46" s="4">
        <f>_xlfn.RANK.EQ(M46,$M$11:$M$68,0)</f>
        <v>33</v>
      </c>
      <c r="O46" s="4" t="str">
        <f t="shared" si="2"/>
        <v>Waterfront / Access Prospect</v>
      </c>
      <c r="P46" s="4" t="str">
        <f t="shared" si="3"/>
        <v>C</v>
      </c>
      <c r="Q46" s="4" t="str">
        <f>IF(Table13[[#This Row],[target_priority]]="A","Direct Outreach",IF(Table13[[#This Row],[target_priority]]="B","Personalized Mail Campaign","Low Priority / Monitor"))</f>
        <v>Low Priority / Monitor</v>
      </c>
      <c r="R46" s="4" t="s">
        <v>52</v>
      </c>
    </row>
    <row r="47" spans="1:18" x14ac:dyDescent="0.15">
      <c r="A47" s="20" t="s">
        <v>77</v>
      </c>
      <c r="B47" s="17"/>
      <c r="C47" s="4" t="s">
        <v>56</v>
      </c>
      <c r="D47" s="15" t="s">
        <v>8</v>
      </c>
      <c r="E47" s="15">
        <v>65079</v>
      </c>
      <c r="F47" s="4">
        <v>3</v>
      </c>
      <c r="G47" s="4">
        <v>4</v>
      </c>
      <c r="H47" s="4">
        <v>2200</v>
      </c>
      <c r="I47" s="15">
        <v>2799100</v>
      </c>
      <c r="J47" s="4">
        <f>Table13[[#This Row],[property_value]]/Table13[[#This Row],[sqft]]</f>
        <v>1272.3181818181818</v>
      </c>
      <c r="K47" s="8" t="s">
        <v>60</v>
      </c>
      <c r="L47" s="4" t="s">
        <v>44</v>
      </c>
      <c r="M47" s="4">
        <f>IF(L47="Dock",50,IF(L47="Waterfront",40,IF(L47="Access",20,0)))+IF(I47&gt;5000000,30,IF(I47&gt;2000000,25,IF(I47&gt;1000000,20,10)))+IF(H47&gt;6000,15,IF(H47&gt;4000,10,5))+IF(F47&gt;=6,10,IF(F47&gt;=4,5,0))</f>
        <v>80</v>
      </c>
      <c r="N47" s="4">
        <f>_xlfn.RANK.EQ(M47,$M$11:$M$68,0)</f>
        <v>33</v>
      </c>
      <c r="O47" s="4" t="str">
        <f t="shared" si="2"/>
        <v>Waterfront / Access Prospect</v>
      </c>
      <c r="P47" s="4" t="str">
        <f t="shared" si="3"/>
        <v>C</v>
      </c>
      <c r="Q47" s="4" t="str">
        <f>IF(Table13[[#This Row],[target_priority]]="A","Direct Outreach",IF(Table13[[#This Row],[target_priority]]="B","Personalized Mail Campaign","Low Priority / Monitor"))</f>
        <v>Low Priority / Monitor</v>
      </c>
      <c r="R47" s="4" t="s">
        <v>52</v>
      </c>
    </row>
    <row r="48" spans="1:18" x14ac:dyDescent="0.15">
      <c r="A48" s="14" t="s">
        <v>78</v>
      </c>
      <c r="B48" s="14"/>
      <c r="C48" s="15" t="s">
        <v>56</v>
      </c>
      <c r="D48" s="15" t="s">
        <v>8</v>
      </c>
      <c r="E48" s="15">
        <v>65079</v>
      </c>
      <c r="F48" s="4">
        <v>4</v>
      </c>
      <c r="G48" s="4">
        <v>5</v>
      </c>
      <c r="H48" s="4">
        <v>3650</v>
      </c>
      <c r="I48" s="18">
        <v>1767800</v>
      </c>
      <c r="J48" s="4">
        <f>Table13[[#This Row],[property_value]]/Table13[[#This Row],[sqft]]</f>
        <v>484.32876712328766</v>
      </c>
      <c r="K48" s="10" t="s">
        <v>60</v>
      </c>
      <c r="L48" s="4" t="s">
        <v>44</v>
      </c>
      <c r="M48" s="4">
        <f>IF(L48="Dock",50,IF(L48="Waterfront",40,IF(L48="Access",20,0)))+IF(I48&gt;5000000,30,IF(I48&gt;2000000,25,IF(I48&gt;1000000,20,10)))+IF(H48&gt;6000,15,IF(H48&gt;4000,10,5))+IF(F48&gt;=6,10,IF(F48&gt;=4,5,0))</f>
        <v>80</v>
      </c>
      <c r="N48" s="4">
        <f>_xlfn.RANK.EQ(M48,$M$11:$M$68,0)</f>
        <v>33</v>
      </c>
      <c r="O48" s="4" t="str">
        <f t="shared" si="2"/>
        <v>Waterfront / Access Prospect</v>
      </c>
      <c r="P48" s="4" t="str">
        <f t="shared" si="3"/>
        <v>C</v>
      </c>
      <c r="Q48" s="4" t="str">
        <f>IF(Table13[[#This Row],[target_priority]]="A","Direct Outreach",IF(Table13[[#This Row],[target_priority]]="B","Personalized Mail Campaign","Low Priority / Monitor"))</f>
        <v>Low Priority / Monitor</v>
      </c>
      <c r="R48" s="4" t="s">
        <v>52</v>
      </c>
    </row>
    <row r="49" spans="1:18" x14ac:dyDescent="0.15">
      <c r="A49" s="20" t="s">
        <v>80</v>
      </c>
      <c r="B49" s="17"/>
      <c r="C49" s="4" t="s">
        <v>10</v>
      </c>
      <c r="D49" s="15" t="s">
        <v>8</v>
      </c>
      <c r="E49" s="15">
        <v>65065</v>
      </c>
      <c r="F49" s="4">
        <v>4</v>
      </c>
      <c r="G49" s="4">
        <v>4</v>
      </c>
      <c r="H49" s="4">
        <v>3944</v>
      </c>
      <c r="I49" s="18">
        <v>1476300</v>
      </c>
      <c r="J49" s="4">
        <f>Table13[[#This Row],[property_value]]/Table13[[#This Row],[sqft]]</f>
        <v>374.31541582150101</v>
      </c>
      <c r="K49" s="10" t="s">
        <v>60</v>
      </c>
      <c r="L49" s="4" t="s">
        <v>44</v>
      </c>
      <c r="M49" s="4">
        <f>IF(L49="Dock",50,IF(L49="Waterfront",40,IF(L49="Access",20,0)))+IF(I49&gt;5000000,30,IF(I49&gt;2000000,25,IF(I49&gt;1000000,20,10)))+IF(H49&gt;6000,15,IF(H49&gt;4000,10,5))+IF(F49&gt;=6,10,IF(F49&gt;=4,5,0))</f>
        <v>80</v>
      </c>
      <c r="N49" s="4">
        <f>_xlfn.RANK.EQ(M49,$M$11:$M$68,0)</f>
        <v>33</v>
      </c>
      <c r="O49" s="4" t="str">
        <f t="shared" si="2"/>
        <v>Waterfront / Access Prospect</v>
      </c>
      <c r="P49" s="4" t="str">
        <f t="shared" si="3"/>
        <v>C</v>
      </c>
      <c r="Q49" s="4" t="str">
        <f>IF(Table13[[#This Row],[target_priority]]="A","Direct Outreach",IF(Table13[[#This Row],[target_priority]]="B","Personalized Mail Campaign","Low Priority / Monitor"))</f>
        <v>Low Priority / Monitor</v>
      </c>
      <c r="R49" s="4" t="s">
        <v>52</v>
      </c>
    </row>
    <row r="50" spans="1:18" x14ac:dyDescent="0.15">
      <c r="A50" s="20" t="s">
        <v>85</v>
      </c>
      <c r="B50" s="17"/>
      <c r="C50" s="15" t="s">
        <v>9</v>
      </c>
      <c r="D50" s="15" t="s">
        <v>8</v>
      </c>
      <c r="E50" s="15">
        <v>65049</v>
      </c>
      <c r="F50" s="4">
        <v>4</v>
      </c>
      <c r="G50" s="4">
        <v>5</v>
      </c>
      <c r="H50" s="4">
        <v>3828</v>
      </c>
      <c r="I50" s="18">
        <v>1389600</v>
      </c>
      <c r="J50" s="4">
        <f>Table13[[#This Row],[property_value]]/Table13[[#This Row],[sqft]]</f>
        <v>363.00940438871476</v>
      </c>
      <c r="K50" s="10" t="s">
        <v>60</v>
      </c>
      <c r="L50" s="4" t="s">
        <v>44</v>
      </c>
      <c r="M50" s="4">
        <f>IF(L50="Dock",50,IF(L50="Waterfront",40,IF(L50="Access",20,0)))+IF(I50&gt;5000000,30,IF(I50&gt;2000000,25,IF(I50&gt;1000000,20,10)))+IF(H50&gt;6000,15,IF(H50&gt;4000,10,5))+IF(F50&gt;=6,10,IF(F50&gt;=4,5,0))</f>
        <v>80</v>
      </c>
      <c r="N50" s="4">
        <f>_xlfn.RANK.EQ(M50,$M$11:$M$68,0)</f>
        <v>33</v>
      </c>
      <c r="O50" s="4" t="str">
        <f t="shared" si="2"/>
        <v>Waterfront / Access Prospect</v>
      </c>
      <c r="P50" s="4" t="str">
        <f t="shared" si="3"/>
        <v>C</v>
      </c>
      <c r="Q50" s="4" t="str">
        <f>IF(Table13[[#This Row],[target_priority]]="A","Direct Outreach",IF(Table13[[#This Row],[target_priority]]="B","Personalized Mail Campaign","Low Priority / Monitor"))</f>
        <v>Low Priority / Monitor</v>
      </c>
      <c r="R50" s="4" t="s">
        <v>52</v>
      </c>
    </row>
    <row r="51" spans="1:18" x14ac:dyDescent="0.15">
      <c r="A51" s="14" t="s">
        <v>18</v>
      </c>
      <c r="B51" s="14"/>
      <c r="C51" s="15" t="s">
        <v>9</v>
      </c>
      <c r="D51" s="15" t="s">
        <v>8</v>
      </c>
      <c r="E51" s="15">
        <v>65049</v>
      </c>
      <c r="F51" s="4">
        <v>5</v>
      </c>
      <c r="G51" s="4">
        <v>4</v>
      </c>
      <c r="H51" s="4">
        <v>2960</v>
      </c>
      <c r="I51" s="16">
        <v>1149995</v>
      </c>
      <c r="J51" s="4">
        <f>Table13[[#This Row],[property_value]]/Table13[[#This Row],[sqft]]</f>
        <v>388.51182432432432</v>
      </c>
      <c r="K51" s="9"/>
      <c r="L51" s="4" t="s">
        <v>44</v>
      </c>
      <c r="M51" s="4">
        <f>IF(L51="Dock",50,IF(L51="Waterfront",40,IF(L51="Access",20,0)))+IF(I51&gt;5000000,30,IF(I51&gt;2000000,25,IF(I51&gt;1000000,20,10)))+IF(H51&gt;6000,15,IF(H51&gt;4000,10,5))+IF(F51&gt;=6,10,IF(F51&gt;=4,5,0))</f>
        <v>80</v>
      </c>
      <c r="N51" s="4">
        <f>_xlfn.RANK.EQ(M51,$M$11:$M$68,0)</f>
        <v>33</v>
      </c>
      <c r="O51" s="4" t="str">
        <f t="shared" si="2"/>
        <v>Waterfront / Access Prospect</v>
      </c>
      <c r="P51" s="4" t="str">
        <f t="shared" si="3"/>
        <v>C</v>
      </c>
      <c r="Q51" s="4" t="str">
        <f>IF(Table13[[#This Row],[target_priority]]="A","Direct Outreach",IF(Table13[[#This Row],[target_priority]]="B","Personalized Mail Campaign","Low Priority / Monitor"))</f>
        <v>Low Priority / Monitor</v>
      </c>
      <c r="R51" s="4" t="s">
        <v>51</v>
      </c>
    </row>
    <row r="52" spans="1:18" x14ac:dyDescent="0.15">
      <c r="A52" s="14" t="s">
        <v>20</v>
      </c>
      <c r="B52" s="14"/>
      <c r="C52" s="15" t="s">
        <v>9</v>
      </c>
      <c r="D52" s="15" t="s">
        <v>8</v>
      </c>
      <c r="E52" s="15">
        <v>65049</v>
      </c>
      <c r="F52" s="4">
        <v>6</v>
      </c>
      <c r="G52" s="4">
        <v>5</v>
      </c>
      <c r="H52" s="4">
        <v>4134</v>
      </c>
      <c r="I52" s="15">
        <v>899000</v>
      </c>
      <c r="J52" s="4">
        <f>Table13[[#This Row],[property_value]]/Table13[[#This Row],[sqft]]</f>
        <v>217.46492501209482</v>
      </c>
      <c r="K52" s="8"/>
      <c r="L52" s="4" t="s">
        <v>44</v>
      </c>
      <c r="M52" s="4">
        <f>IF(L52="Dock",50,IF(L52="Waterfront",40,IF(L52="Access",20,0)))+IF(I52&gt;5000000,30,IF(I52&gt;2000000,25,IF(I52&gt;1000000,20,10)))+IF(H52&gt;6000,15,IF(H52&gt;4000,10,5))+IF(F52&gt;=6,10,IF(F52&gt;=4,5,0))</f>
        <v>80</v>
      </c>
      <c r="N52" s="4">
        <f>_xlfn.RANK.EQ(M52,$M$11:$M$68,0)</f>
        <v>33</v>
      </c>
      <c r="O52" s="4" t="str">
        <f t="shared" si="2"/>
        <v>Waterfront / Access Prospect</v>
      </c>
      <c r="P52" s="4" t="str">
        <f t="shared" si="3"/>
        <v>C</v>
      </c>
      <c r="Q52" s="4" t="str">
        <f>IF(Table13[[#This Row],[target_priority]]="A","Direct Outreach",IF(Table13[[#This Row],[target_priority]]="B","Personalized Mail Campaign","Low Priority / Monitor"))</f>
        <v>Low Priority / Monitor</v>
      </c>
      <c r="R52" s="4" t="s">
        <v>51</v>
      </c>
    </row>
    <row r="53" spans="1:18" x14ac:dyDescent="0.15">
      <c r="A53" s="14" t="s">
        <v>22</v>
      </c>
      <c r="B53" s="14"/>
      <c r="C53" s="15" t="s">
        <v>10</v>
      </c>
      <c r="D53" s="15" t="s">
        <v>8</v>
      </c>
      <c r="E53" s="15">
        <v>65065</v>
      </c>
      <c r="F53" s="4">
        <v>4</v>
      </c>
      <c r="G53" s="4">
        <v>5</v>
      </c>
      <c r="H53" s="4">
        <v>3421</v>
      </c>
      <c r="I53" s="16">
        <v>1499000</v>
      </c>
      <c r="J53" s="4">
        <f>Table13[[#This Row],[property_value]]/Table13[[#This Row],[sqft]]</f>
        <v>438.17597193802982</v>
      </c>
      <c r="K53" s="9"/>
      <c r="L53" s="4" t="s">
        <v>44</v>
      </c>
      <c r="M53" s="4">
        <f>IF(L53="Dock",50,IF(L53="Waterfront",40,IF(L53="Access",20,0)))+IF(I53&gt;5000000,30,IF(I53&gt;2000000,25,IF(I53&gt;1000000,20,10)))+IF(H53&gt;6000,15,IF(H53&gt;4000,10,5))+IF(F53&gt;=6,10,IF(F53&gt;=4,5,0))</f>
        <v>80</v>
      </c>
      <c r="N53" s="4">
        <f>_xlfn.RANK.EQ(M53,$M$11:$M$68,0)</f>
        <v>33</v>
      </c>
      <c r="O53" s="4" t="str">
        <f t="shared" si="2"/>
        <v>Waterfront / Access Prospect</v>
      </c>
      <c r="P53" s="4" t="str">
        <f t="shared" si="3"/>
        <v>C</v>
      </c>
      <c r="Q53" s="4" t="str">
        <f>IF(Table13[[#This Row],[target_priority]]="A","Direct Outreach",IF(Table13[[#This Row],[target_priority]]="B","Personalized Mail Campaign","Low Priority / Monitor"))</f>
        <v>Low Priority / Monitor</v>
      </c>
      <c r="R53" s="4" t="s">
        <v>51</v>
      </c>
    </row>
    <row r="54" spans="1:18" x14ac:dyDescent="0.15">
      <c r="A54" s="14" t="s">
        <v>23</v>
      </c>
      <c r="B54" s="14"/>
      <c r="C54" s="15" t="s">
        <v>10</v>
      </c>
      <c r="D54" s="15" t="s">
        <v>8</v>
      </c>
      <c r="E54" s="15">
        <v>65065</v>
      </c>
      <c r="F54" s="4">
        <v>4</v>
      </c>
      <c r="G54" s="4">
        <v>7</v>
      </c>
      <c r="H54" s="4">
        <v>3028</v>
      </c>
      <c r="I54" s="15">
        <v>1350000</v>
      </c>
      <c r="J54" s="4">
        <f>Table13[[#This Row],[property_value]]/Table13[[#This Row],[sqft]]</f>
        <v>445.83883751651257</v>
      </c>
      <c r="K54" s="8"/>
      <c r="L54" s="4" t="s">
        <v>44</v>
      </c>
      <c r="M54" s="4">
        <f>IF(L54="Dock",50,IF(L54="Waterfront",40,IF(L54="Access",20,0)))+IF(I54&gt;5000000,30,IF(I54&gt;2000000,25,IF(I54&gt;1000000,20,10)))+IF(H54&gt;6000,15,IF(H54&gt;4000,10,5))+IF(F54&gt;=6,10,IF(F54&gt;=4,5,0))</f>
        <v>80</v>
      </c>
      <c r="N54" s="4">
        <f>_xlfn.RANK.EQ(M54,$M$11:$M$68,0)</f>
        <v>33</v>
      </c>
      <c r="O54" s="4" t="str">
        <f t="shared" si="2"/>
        <v>Waterfront / Access Prospect</v>
      </c>
      <c r="P54" s="4" t="str">
        <f t="shared" si="3"/>
        <v>C</v>
      </c>
      <c r="Q54" s="4" t="str">
        <f>IF(Table13[[#This Row],[target_priority]]="A","Direct Outreach",IF(Table13[[#This Row],[target_priority]]="B","Personalized Mail Campaign","Low Priority / Monitor"))</f>
        <v>Low Priority / Monitor</v>
      </c>
      <c r="R54" s="4" t="s">
        <v>51</v>
      </c>
    </row>
    <row r="55" spans="1:18" x14ac:dyDescent="0.15">
      <c r="A55" s="14" t="s">
        <v>26</v>
      </c>
      <c r="B55" s="14"/>
      <c r="C55" s="15" t="s">
        <v>11</v>
      </c>
      <c r="D55" s="15" t="s">
        <v>8</v>
      </c>
      <c r="E55" s="15">
        <v>65079</v>
      </c>
      <c r="F55" s="4">
        <v>5</v>
      </c>
      <c r="G55" s="4">
        <v>6</v>
      </c>
      <c r="H55" s="4">
        <v>3686</v>
      </c>
      <c r="I55" s="16">
        <v>1599000</v>
      </c>
      <c r="J55" s="4">
        <f>Table13[[#This Row],[property_value]]/Table13[[#This Row],[sqft]]</f>
        <v>433.80358111774279</v>
      </c>
      <c r="K55" s="9"/>
      <c r="L55" s="4" t="s">
        <v>44</v>
      </c>
      <c r="M55" s="4">
        <f>IF(L55="Dock",50,IF(L55="Waterfront",40,IF(L55="Access",20,0)))+IF(I55&gt;5000000,30,IF(I55&gt;2000000,25,IF(I55&gt;1000000,20,10)))+IF(H55&gt;6000,15,IF(H55&gt;4000,10,5))+IF(F55&gt;=6,10,IF(F55&gt;=4,5,0))</f>
        <v>80</v>
      </c>
      <c r="N55" s="4">
        <f>_xlfn.RANK.EQ(M55,$M$11:$M$68,0)</f>
        <v>33</v>
      </c>
      <c r="O55" s="4" t="str">
        <f t="shared" si="2"/>
        <v>Waterfront / Access Prospect</v>
      </c>
      <c r="P55" s="4" t="str">
        <f t="shared" si="3"/>
        <v>C</v>
      </c>
      <c r="Q55" s="4" t="str">
        <f>IF(Table13[[#This Row],[target_priority]]="A","Direct Outreach",IF(Table13[[#This Row],[target_priority]]="B","Personalized Mail Campaign","Low Priority / Monitor"))</f>
        <v>Low Priority / Monitor</v>
      </c>
      <c r="R55" s="4" t="s">
        <v>51</v>
      </c>
    </row>
    <row r="56" spans="1:18" x14ac:dyDescent="0.15">
      <c r="A56" s="14" t="s">
        <v>27</v>
      </c>
      <c r="B56" s="14"/>
      <c r="C56" s="15" t="s">
        <v>11</v>
      </c>
      <c r="D56" s="15" t="s">
        <v>8</v>
      </c>
      <c r="E56" s="15">
        <v>65079</v>
      </c>
      <c r="F56" s="4">
        <v>4</v>
      </c>
      <c r="G56" s="4">
        <v>5</v>
      </c>
      <c r="H56" s="4">
        <v>3246</v>
      </c>
      <c r="I56" s="16">
        <v>1250000</v>
      </c>
      <c r="J56" s="4">
        <f>Table13[[#This Row],[property_value]]/Table13[[#This Row],[sqft]]</f>
        <v>385.08934072704869</v>
      </c>
      <c r="K56" s="9"/>
      <c r="L56" s="4" t="s">
        <v>44</v>
      </c>
      <c r="M56" s="4">
        <f>IF(L56="Dock",50,IF(L56="Waterfront",40,IF(L56="Access",20,0)))+IF(I56&gt;5000000,30,IF(I56&gt;2000000,25,IF(I56&gt;1000000,20,10)))+IF(H56&gt;6000,15,IF(H56&gt;4000,10,5))+IF(F56&gt;=6,10,IF(F56&gt;=4,5,0))</f>
        <v>80</v>
      </c>
      <c r="N56" s="4">
        <f>_xlfn.RANK.EQ(M56,$M$11:$M$68,0)</f>
        <v>33</v>
      </c>
      <c r="O56" s="4" t="str">
        <f t="shared" si="2"/>
        <v>Waterfront / Access Prospect</v>
      </c>
      <c r="P56" s="4" t="str">
        <f t="shared" si="3"/>
        <v>C</v>
      </c>
      <c r="Q56" s="4" t="str">
        <f>IF(Table13[[#This Row],[target_priority]]="A","Direct Outreach",IF(Table13[[#This Row],[target_priority]]="B","Personalized Mail Campaign","Low Priority / Monitor"))</f>
        <v>Low Priority / Monitor</v>
      </c>
      <c r="R56" s="4" t="s">
        <v>51</v>
      </c>
    </row>
    <row r="57" spans="1:18" x14ac:dyDescent="0.15">
      <c r="A57" s="14" t="s">
        <v>32</v>
      </c>
      <c r="B57" s="14"/>
      <c r="C57" s="15" t="s">
        <v>10</v>
      </c>
      <c r="D57" s="15" t="s">
        <v>8</v>
      </c>
      <c r="E57" s="15">
        <v>65065</v>
      </c>
      <c r="F57" s="4">
        <v>4</v>
      </c>
      <c r="G57" s="4">
        <v>4</v>
      </c>
      <c r="H57" s="4">
        <v>3236</v>
      </c>
      <c r="I57" s="15">
        <v>1785000</v>
      </c>
      <c r="J57" s="4">
        <f>Table13[[#This Row],[property_value]]/Table13[[#This Row],[sqft]]</f>
        <v>551.6069221260816</v>
      </c>
      <c r="K57" s="8"/>
      <c r="L57" s="4" t="s">
        <v>44</v>
      </c>
      <c r="M57" s="4">
        <f>IF(L57="Dock",50,IF(L57="Waterfront",40,IF(L57="Access",20,0)))+IF(I57&gt;5000000,30,IF(I57&gt;2000000,25,IF(I57&gt;1000000,20,10)))+IF(H57&gt;6000,15,IF(H57&gt;4000,10,5))+IF(F57&gt;=6,10,IF(F57&gt;=4,5,0))</f>
        <v>80</v>
      </c>
      <c r="N57" s="4">
        <f>_xlfn.RANK.EQ(M57,$M$11:$M$68,0)</f>
        <v>33</v>
      </c>
      <c r="O57" s="4" t="str">
        <f t="shared" si="2"/>
        <v>Waterfront / Access Prospect</v>
      </c>
      <c r="P57" s="4" t="str">
        <f t="shared" si="3"/>
        <v>C</v>
      </c>
      <c r="Q57" s="4" t="str">
        <f>IF(Table13[[#This Row],[target_priority]]="A","Direct Outreach",IF(Table13[[#This Row],[target_priority]]="B","Personalized Mail Campaign","Low Priority / Monitor"))</f>
        <v>Low Priority / Monitor</v>
      </c>
      <c r="R57" s="4" t="s">
        <v>51</v>
      </c>
    </row>
    <row r="58" spans="1:18" x14ac:dyDescent="0.15">
      <c r="A58" s="14" t="s">
        <v>37</v>
      </c>
      <c r="B58" s="14"/>
      <c r="C58" s="15" t="s">
        <v>12</v>
      </c>
      <c r="D58" s="15" t="s">
        <v>8</v>
      </c>
      <c r="E58" s="15">
        <v>65049</v>
      </c>
      <c r="F58" s="4">
        <v>5</v>
      </c>
      <c r="G58" s="4">
        <v>6</v>
      </c>
      <c r="H58" s="4">
        <v>3702</v>
      </c>
      <c r="I58" s="15">
        <v>1950000</v>
      </c>
      <c r="J58" s="4">
        <f>Table13[[#This Row],[property_value]]/Table13[[#This Row],[sqft]]</f>
        <v>526.74230145867102</v>
      </c>
      <c r="K58" s="8"/>
      <c r="L58" s="4" t="s">
        <v>44</v>
      </c>
      <c r="M58" s="4">
        <f>IF(L58="Dock",50,IF(L58="Waterfront",40,IF(L58="Access",20,0)))+IF(I58&gt;5000000,30,IF(I58&gt;2000000,25,IF(I58&gt;1000000,20,10)))+IF(H58&gt;6000,15,IF(H58&gt;4000,10,5))+IF(F58&gt;=6,10,IF(F58&gt;=4,5,0))</f>
        <v>80</v>
      </c>
      <c r="N58" s="4">
        <f>_xlfn.RANK.EQ(M58,$M$11:$M$68,0)</f>
        <v>33</v>
      </c>
      <c r="O58" s="4" t="str">
        <f t="shared" si="2"/>
        <v>Waterfront / Access Prospect</v>
      </c>
      <c r="P58" s="4" t="str">
        <f t="shared" si="3"/>
        <v>C</v>
      </c>
      <c r="Q58" s="4" t="str">
        <f>IF(Table13[[#This Row],[target_priority]]="A","Direct Outreach",IF(Table13[[#This Row],[target_priority]]="B","Personalized Mail Campaign","Low Priority / Monitor"))</f>
        <v>Low Priority / Monitor</v>
      </c>
      <c r="R58" s="4" t="s">
        <v>51</v>
      </c>
    </row>
    <row r="59" spans="1:18" x14ac:dyDescent="0.15">
      <c r="A59" s="20" t="s">
        <v>59</v>
      </c>
      <c r="B59" s="14"/>
      <c r="C59" s="15" t="s">
        <v>56</v>
      </c>
      <c r="D59" s="15" t="s">
        <v>8</v>
      </c>
      <c r="E59" s="15">
        <v>65079</v>
      </c>
      <c r="F59" s="4">
        <v>5</v>
      </c>
      <c r="G59" s="4">
        <v>5</v>
      </c>
      <c r="H59" s="4">
        <v>5262</v>
      </c>
      <c r="I59" s="15">
        <v>1815300</v>
      </c>
      <c r="J59" s="4">
        <f>Table13[[#This Row],[property_value]]/Table13[[#This Row],[sqft]]</f>
        <v>344.98289623717216</v>
      </c>
      <c r="K59" s="9" t="s">
        <v>60</v>
      </c>
      <c r="L59" s="4" t="s">
        <v>61</v>
      </c>
      <c r="M59" s="4">
        <f>IF(L59="Dock",50,IF(L59="Waterfront",40,IF(L59="Access",20,0)))+IF(I59&gt;5000000,30,IF(I59&gt;2000000,25,IF(I59&gt;1000000,20,10)))+IF(H59&gt;6000,15,IF(H59&gt;4000,10,5))+IF(F59&gt;=6,10,IF(F59&gt;=4,5,0))</f>
        <v>75</v>
      </c>
      <c r="N59" s="4">
        <f>_xlfn.RANK.EQ(M59,$M$11:$M$68,0)</f>
        <v>49</v>
      </c>
      <c r="O59" s="4" t="str">
        <f t="shared" si="2"/>
        <v>Waterfront / Access Prospect</v>
      </c>
      <c r="P59" s="4" t="str">
        <f t="shared" si="3"/>
        <v>C</v>
      </c>
      <c r="Q59" s="4" t="str">
        <f>IF(Table13[[#This Row],[target_priority]]="A","Direct Outreach",IF(Table13[[#This Row],[target_priority]]="B","Personalized Mail Campaign","Low Priority / Monitor"))</f>
        <v>Low Priority / Monitor</v>
      </c>
      <c r="R59" s="4" t="s">
        <v>52</v>
      </c>
    </row>
    <row r="60" spans="1:18" x14ac:dyDescent="0.15">
      <c r="A60" s="17" t="s">
        <v>68</v>
      </c>
      <c r="B60" s="17"/>
      <c r="C60" s="4" t="s">
        <v>9</v>
      </c>
      <c r="D60" s="15" t="s">
        <v>8</v>
      </c>
      <c r="E60" s="15">
        <v>65049</v>
      </c>
      <c r="F60" s="4">
        <v>4</v>
      </c>
      <c r="G60" s="4">
        <v>4</v>
      </c>
      <c r="H60" s="4">
        <v>4400</v>
      </c>
      <c r="I60" s="15">
        <v>852700</v>
      </c>
      <c r="J60" s="4">
        <f>Table13[[#This Row],[property_value]]/Table13[[#This Row],[sqft]]</f>
        <v>193.79545454545453</v>
      </c>
      <c r="K60" s="8" t="s">
        <v>60</v>
      </c>
      <c r="L60" s="4" t="s">
        <v>44</v>
      </c>
      <c r="M60" s="4">
        <f>IF(L60="Dock",50,IF(L60="Waterfront",40,IF(L60="Access",20,0)))+IF(I60&gt;5000000,30,IF(I60&gt;2000000,25,IF(I60&gt;1000000,20,10)))+IF(H60&gt;6000,15,IF(H60&gt;4000,10,5))+IF(F60&gt;=6,10,IF(F60&gt;=4,5,0))</f>
        <v>75</v>
      </c>
      <c r="N60" s="4">
        <f>_xlfn.RANK.EQ(M60,$M$11:$M$68,0)</f>
        <v>49</v>
      </c>
      <c r="O60" s="4" t="str">
        <f t="shared" si="2"/>
        <v>Waterfront / Access Prospect</v>
      </c>
      <c r="P60" s="4" t="str">
        <f t="shared" si="3"/>
        <v>C</v>
      </c>
      <c r="Q60" s="4" t="str">
        <f>IF(Table13[[#This Row],[target_priority]]="A","Direct Outreach",IF(Table13[[#This Row],[target_priority]]="B","Personalized Mail Campaign","Low Priority / Monitor"))</f>
        <v>Low Priority / Monitor</v>
      </c>
      <c r="R60" s="4" t="s">
        <v>52</v>
      </c>
    </row>
    <row r="61" spans="1:18" x14ac:dyDescent="0.15">
      <c r="A61" s="14" t="s">
        <v>38</v>
      </c>
      <c r="B61" s="14"/>
      <c r="C61" s="15" t="s">
        <v>9</v>
      </c>
      <c r="D61" s="15" t="s">
        <v>8</v>
      </c>
      <c r="E61" s="15">
        <v>65049</v>
      </c>
      <c r="F61" s="4">
        <v>3</v>
      </c>
      <c r="G61" s="4">
        <v>3</v>
      </c>
      <c r="H61" s="4">
        <v>2741</v>
      </c>
      <c r="I61" s="16">
        <v>1199000</v>
      </c>
      <c r="J61" s="4">
        <f>Table13[[#This Row],[property_value]]/Table13[[#This Row],[sqft]]</f>
        <v>437.43159430864648</v>
      </c>
      <c r="K61" s="9"/>
      <c r="L61" s="4" t="s">
        <v>44</v>
      </c>
      <c r="M61" s="4">
        <f>IF(L61="Dock",50,IF(L61="Waterfront",40,IF(L61="Access",20,0)))+IF(I61&gt;5000000,30,IF(I61&gt;2000000,25,IF(I61&gt;1000000,20,10)))+IF(H61&gt;6000,15,IF(H61&gt;4000,10,5))+IF(F61&gt;=6,10,IF(F61&gt;=4,5,0))</f>
        <v>75</v>
      </c>
      <c r="N61" s="4">
        <f>_xlfn.RANK.EQ(M61,$M$11:$M$68,0)</f>
        <v>49</v>
      </c>
      <c r="O61" s="4" t="str">
        <f t="shared" si="2"/>
        <v>Waterfront / Access Prospect</v>
      </c>
      <c r="P61" s="4" t="str">
        <f t="shared" si="3"/>
        <v>C</v>
      </c>
      <c r="Q61" s="4" t="str">
        <f>IF(Table13[[#This Row],[target_priority]]="A","Direct Outreach",IF(Table13[[#This Row],[target_priority]]="B","Personalized Mail Campaign","Low Priority / Monitor"))</f>
        <v>Low Priority / Monitor</v>
      </c>
      <c r="R61" s="4" t="s">
        <v>51</v>
      </c>
    </row>
    <row r="62" spans="1:18" x14ac:dyDescent="0.15">
      <c r="A62" s="20" t="s">
        <v>58</v>
      </c>
      <c r="B62" s="14"/>
      <c r="C62" s="15" t="s">
        <v>9</v>
      </c>
      <c r="D62" s="15" t="s">
        <v>8</v>
      </c>
      <c r="E62" s="15">
        <v>65049</v>
      </c>
      <c r="F62" s="4">
        <v>4</v>
      </c>
      <c r="G62" s="4">
        <v>2</v>
      </c>
      <c r="H62" s="4">
        <v>2180</v>
      </c>
      <c r="I62" s="15">
        <v>742400</v>
      </c>
      <c r="J62" s="4">
        <f>Table13[[#This Row],[property_value]]/Table13[[#This Row],[sqft]]</f>
        <v>340.55045871559633</v>
      </c>
      <c r="K62" s="9" t="s">
        <v>60</v>
      </c>
      <c r="L62" s="4" t="s">
        <v>44</v>
      </c>
      <c r="M62" s="4">
        <f>IF(L62="Dock",50,IF(L62="Waterfront",40,IF(L62="Access",20,0)))+IF(I62&gt;5000000,30,IF(I62&gt;2000000,25,IF(I62&gt;1000000,20,10)))+IF(H62&gt;6000,15,IF(H62&gt;4000,10,5))+IF(F62&gt;=6,10,IF(F62&gt;=4,5,0))</f>
        <v>70</v>
      </c>
      <c r="N62" s="4">
        <f>_xlfn.RANK.EQ(M62,$M$11:$M$68,0)</f>
        <v>52</v>
      </c>
      <c r="O62" s="4" t="str">
        <f t="shared" si="2"/>
        <v>Waterfront / Access Prospect</v>
      </c>
      <c r="P62" s="4" t="str">
        <f t="shared" si="3"/>
        <v>C</v>
      </c>
      <c r="Q62" s="4" t="str">
        <f>IF(Table13[[#This Row],[target_priority]]="A","Direct Outreach",IF(Table13[[#This Row],[target_priority]]="B","Personalized Mail Campaign","Low Priority / Monitor"))</f>
        <v>Low Priority / Monitor</v>
      </c>
      <c r="R62" s="4" t="s">
        <v>52</v>
      </c>
    </row>
    <row r="63" spans="1:18" x14ac:dyDescent="0.15">
      <c r="A63" s="20" t="s">
        <v>69</v>
      </c>
      <c r="B63" s="14"/>
      <c r="C63" s="15" t="s">
        <v>9</v>
      </c>
      <c r="D63" s="15" t="s">
        <v>8</v>
      </c>
      <c r="E63" s="15">
        <v>65049</v>
      </c>
      <c r="F63" s="4">
        <v>4</v>
      </c>
      <c r="G63" s="4">
        <v>3</v>
      </c>
      <c r="H63" s="4">
        <v>2052</v>
      </c>
      <c r="I63" s="18">
        <v>841600</v>
      </c>
      <c r="J63" s="4">
        <f>Table13[[#This Row],[property_value]]/Table13[[#This Row],[sqft]]</f>
        <v>410.1364522417154</v>
      </c>
      <c r="K63" s="10" t="s">
        <v>60</v>
      </c>
      <c r="L63" s="4" t="s">
        <v>44</v>
      </c>
      <c r="M63" s="4">
        <f>IF(L63="Dock",50,IF(L63="Waterfront",40,IF(L63="Access",20,0)))+IF(I63&gt;5000000,30,IF(I63&gt;2000000,25,IF(I63&gt;1000000,20,10)))+IF(H63&gt;6000,15,IF(H63&gt;4000,10,5))+IF(F63&gt;=6,10,IF(F63&gt;=4,5,0))</f>
        <v>70</v>
      </c>
      <c r="N63" s="4">
        <f>_xlfn.RANK.EQ(M63,$M$11:$M$68,0)</f>
        <v>52</v>
      </c>
      <c r="O63" s="4" t="str">
        <f t="shared" si="2"/>
        <v>Waterfront / Access Prospect</v>
      </c>
      <c r="P63" s="4" t="str">
        <f t="shared" si="3"/>
        <v>C</v>
      </c>
      <c r="Q63" s="4" t="str">
        <f>IF(Table13[[#This Row],[target_priority]]="A","Direct Outreach",IF(Table13[[#This Row],[target_priority]]="B","Personalized Mail Campaign","Low Priority / Monitor"))</f>
        <v>Low Priority / Monitor</v>
      </c>
      <c r="R63" s="4" t="s">
        <v>52</v>
      </c>
    </row>
    <row r="64" spans="1:18" x14ac:dyDescent="0.15">
      <c r="A64" s="20" t="s">
        <v>70</v>
      </c>
      <c r="B64" s="14"/>
      <c r="C64" s="15" t="s">
        <v>71</v>
      </c>
      <c r="D64" s="15" t="s">
        <v>8</v>
      </c>
      <c r="E64" s="15">
        <v>65052</v>
      </c>
      <c r="F64" s="4">
        <v>4</v>
      </c>
      <c r="G64" s="4">
        <v>4</v>
      </c>
      <c r="H64" s="4">
        <v>3044</v>
      </c>
      <c r="I64" s="15">
        <v>917500</v>
      </c>
      <c r="J64" s="4">
        <f>Table13[[#This Row],[property_value]]/Table13[[#This Row],[sqft]]</f>
        <v>301.41261498028911</v>
      </c>
      <c r="K64" s="8" t="s">
        <v>60</v>
      </c>
      <c r="L64" s="4" t="s">
        <v>44</v>
      </c>
      <c r="M64" s="4">
        <f>IF(L64="Dock",50,IF(L64="Waterfront",40,IF(L64="Access",20,0)))+IF(I64&gt;5000000,30,IF(I64&gt;2000000,25,IF(I64&gt;1000000,20,10)))+IF(H64&gt;6000,15,IF(H64&gt;4000,10,5))+IF(F64&gt;=6,10,IF(F64&gt;=4,5,0))</f>
        <v>70</v>
      </c>
      <c r="N64" s="4">
        <f>_xlfn.RANK.EQ(M64,$M$11:$M$68,0)</f>
        <v>52</v>
      </c>
      <c r="O64" s="4" t="str">
        <f t="shared" si="2"/>
        <v>Waterfront / Access Prospect</v>
      </c>
      <c r="P64" s="4" t="str">
        <f t="shared" si="3"/>
        <v>C</v>
      </c>
      <c r="Q64" s="4" t="str">
        <f>IF(Table13[[#This Row],[target_priority]]="A","Direct Outreach",IF(Table13[[#This Row],[target_priority]]="B","Personalized Mail Campaign","Low Priority / Monitor"))</f>
        <v>Low Priority / Monitor</v>
      </c>
      <c r="R64" s="4" t="s">
        <v>52</v>
      </c>
    </row>
    <row r="65" spans="1:18" x14ac:dyDescent="0.15">
      <c r="A65" s="14" t="s">
        <v>16</v>
      </c>
      <c r="B65" s="14"/>
      <c r="C65" s="15" t="s">
        <v>9</v>
      </c>
      <c r="D65" s="15" t="s">
        <v>8</v>
      </c>
      <c r="E65" s="15">
        <v>65049</v>
      </c>
      <c r="F65" s="4">
        <v>5</v>
      </c>
      <c r="G65" s="4">
        <v>7</v>
      </c>
      <c r="H65" s="4">
        <v>2618</v>
      </c>
      <c r="I65" s="15">
        <v>699900</v>
      </c>
      <c r="J65" s="4">
        <f>Table13[[#This Row],[property_value]]/Table13[[#This Row],[sqft]]</f>
        <v>267.34148204736442</v>
      </c>
      <c r="K65" s="8"/>
      <c r="L65" s="4" t="s">
        <v>44</v>
      </c>
      <c r="M65" s="4">
        <f>IF(L65="Dock",50,IF(L65="Waterfront",40,IF(L65="Access",20,0)))+IF(I65&gt;5000000,30,IF(I65&gt;2000000,25,IF(I65&gt;1000000,20,10)))+IF(H65&gt;6000,15,IF(H65&gt;4000,10,5))+IF(F65&gt;=6,10,IF(F65&gt;=4,5,0))</f>
        <v>70</v>
      </c>
      <c r="N65" s="4">
        <f>_xlfn.RANK.EQ(M65,$M$11:$M$68,0)</f>
        <v>52</v>
      </c>
      <c r="O65" s="4" t="str">
        <f t="shared" si="2"/>
        <v>Waterfront / Access Prospect</v>
      </c>
      <c r="P65" s="4" t="str">
        <f t="shared" si="3"/>
        <v>C</v>
      </c>
      <c r="Q65" s="4" t="str">
        <f>IF(Table13[[#This Row],[target_priority]]="A","Direct Outreach",IF(Table13[[#This Row],[target_priority]]="B","Personalized Mail Campaign","Low Priority / Monitor"))</f>
        <v>Low Priority / Monitor</v>
      </c>
      <c r="R65" s="4" t="s">
        <v>51</v>
      </c>
    </row>
    <row r="66" spans="1:18" x14ac:dyDescent="0.15">
      <c r="A66" s="20" t="s">
        <v>62</v>
      </c>
      <c r="B66" s="14"/>
      <c r="C66" s="15" t="s">
        <v>9</v>
      </c>
      <c r="D66" s="15" t="s">
        <v>8</v>
      </c>
      <c r="E66" s="15">
        <v>65049</v>
      </c>
      <c r="F66" s="4">
        <v>3</v>
      </c>
      <c r="G66" s="4">
        <v>2</v>
      </c>
      <c r="H66" s="4">
        <v>1347</v>
      </c>
      <c r="I66" s="18">
        <v>648100</v>
      </c>
      <c r="J66" s="4">
        <f>Table13[[#This Row],[property_value]]/Table13[[#This Row],[sqft]]</f>
        <v>481.14328136599852</v>
      </c>
      <c r="K66" s="10" t="s">
        <v>60</v>
      </c>
      <c r="L66" s="4" t="s">
        <v>44</v>
      </c>
      <c r="M66" s="4">
        <f>IF(L66="Dock",50,IF(L66="Waterfront",40,IF(L66="Access",20,0)))+IF(I66&gt;5000000,30,IF(I66&gt;2000000,25,IF(I66&gt;1000000,20,10)))+IF(H66&gt;6000,15,IF(H66&gt;4000,10,5))+IF(F66&gt;=6,10,IF(F66&gt;=4,5,0))</f>
        <v>65</v>
      </c>
      <c r="N66" s="4">
        <f>_xlfn.RANK.EQ(M66,$M$11:$M$68,0)</f>
        <v>56</v>
      </c>
      <c r="O66" s="4" t="str">
        <f t="shared" si="2"/>
        <v>Waterfront / Access Prospect</v>
      </c>
      <c r="P66" s="4" t="str">
        <f t="shared" si="3"/>
        <v>C</v>
      </c>
      <c r="Q66" s="4" t="str">
        <f>IF(Table13[[#This Row],[target_priority]]="A","Direct Outreach",IF(Table13[[#This Row],[target_priority]]="B","Personalized Mail Campaign","Low Priority / Monitor"))</f>
        <v>Low Priority / Monitor</v>
      </c>
      <c r="R66" s="4" t="s">
        <v>52</v>
      </c>
    </row>
    <row r="67" spans="1:18" x14ac:dyDescent="0.15">
      <c r="A67" s="20" t="s">
        <v>73</v>
      </c>
      <c r="B67" s="17"/>
      <c r="C67" s="4" t="s">
        <v>56</v>
      </c>
      <c r="D67" s="15" t="s">
        <v>8</v>
      </c>
      <c r="E67" s="15">
        <v>65079</v>
      </c>
      <c r="F67" s="4">
        <v>3</v>
      </c>
      <c r="G67" s="4">
        <v>3</v>
      </c>
      <c r="H67" s="4">
        <v>2197</v>
      </c>
      <c r="I67" s="18">
        <v>836200</v>
      </c>
      <c r="J67" s="4">
        <f>Table13[[#This Row],[property_value]]/Table13[[#This Row],[sqft]]</f>
        <v>380.60992262175694</v>
      </c>
      <c r="K67" s="10" t="s">
        <v>60</v>
      </c>
      <c r="L67" s="4" t="s">
        <v>44</v>
      </c>
      <c r="M67" s="4">
        <f>IF(L67="Dock",50,IF(L67="Waterfront",40,IF(L67="Access",20,0)))+IF(I67&gt;5000000,30,IF(I67&gt;2000000,25,IF(I67&gt;1000000,20,10)))+IF(H67&gt;6000,15,IF(H67&gt;4000,10,5))+IF(F67&gt;=6,10,IF(F67&gt;=4,5,0))</f>
        <v>65</v>
      </c>
      <c r="N67" s="4">
        <f>_xlfn.RANK.EQ(M67,$M$11:$M$68,0)</f>
        <v>56</v>
      </c>
      <c r="O67" s="4" t="str">
        <f t="shared" si="2"/>
        <v>Waterfront / Access Prospect</v>
      </c>
      <c r="P67" s="4" t="str">
        <f t="shared" si="3"/>
        <v>C</v>
      </c>
      <c r="Q67" s="4" t="str">
        <f>IF(Table13[[#This Row],[target_priority]]="A","Direct Outreach",IF(Table13[[#This Row],[target_priority]]="B","Personalized Mail Campaign","Low Priority / Monitor"))</f>
        <v>Low Priority / Monitor</v>
      </c>
      <c r="R67" s="4" t="s">
        <v>52</v>
      </c>
    </row>
    <row r="68" spans="1:18" x14ac:dyDescent="0.15">
      <c r="A68" s="14" t="s">
        <v>7</v>
      </c>
      <c r="B68" s="14"/>
      <c r="C68" s="15" t="s">
        <v>9</v>
      </c>
      <c r="D68" s="15" t="s">
        <v>8</v>
      </c>
      <c r="E68" s="15">
        <v>65049</v>
      </c>
      <c r="F68" s="4">
        <v>6</v>
      </c>
      <c r="G68" s="4">
        <v>5</v>
      </c>
      <c r="H68" s="4">
        <v>5804</v>
      </c>
      <c r="I68" s="16">
        <v>2900000</v>
      </c>
      <c r="J68" s="4">
        <f>Table13[[#This Row],[property_value]]/Table13[[#This Row],[sqft]]</f>
        <v>499.65541006202619</v>
      </c>
      <c r="K68" s="9"/>
      <c r="L68" s="4" t="s">
        <v>45</v>
      </c>
      <c r="M68" s="4">
        <f>IF(L68="Dock",50,IF(L68="Waterfront",40,IF(L68="Access",20,0)))+IF(I68&gt;5000000,30,IF(I68&gt;2000000,25,IF(I68&gt;1000000,20,10)))+IF(H68&gt;6000,15,IF(H68&gt;4000,10,5))+IF(F68&gt;=6,10,IF(F68&gt;=4,5,0))</f>
        <v>65</v>
      </c>
      <c r="N68" s="4">
        <f>_xlfn.RANK.EQ(M68,$M$11:$M$68,0)</f>
        <v>56</v>
      </c>
      <c r="O68" s="4" t="str">
        <f t="shared" si="2"/>
        <v>Waterfront / Access Prospect</v>
      </c>
      <c r="P68" s="4" t="str">
        <f t="shared" si="3"/>
        <v>C</v>
      </c>
      <c r="Q68" s="4" t="str">
        <f>IF(Table13[[#This Row],[target_priority]]="A","Direct Outreach",IF(Table13[[#This Row],[target_priority]]="B","Personalized Mail Campaign","Low Priority / Monitor"))</f>
        <v>Low Priority / Monitor</v>
      </c>
      <c r="R68" s="4" t="s">
        <v>51</v>
      </c>
    </row>
  </sheetData>
  <dataConsolidate/>
  <mergeCells count="1">
    <mergeCell ref="A1:B1"/>
  </mergeCells>
  <phoneticPr fontId="13" type="noConversion"/>
  <dataValidations count="6">
    <dataValidation type="list" allowBlank="1" showInputMessage="1" showErrorMessage="1" sqref="E70:E1048576 E10:H39" xr:uid="{035241AA-8FD1-654F-9CE9-9ABA7D5D28D8}">
      <formula1>"65049, 65065, 65079, 65049, 65052, 65020"</formula1>
    </dataValidation>
    <dataValidation type="list" allowBlank="1" showInputMessage="1" showErrorMessage="1" sqref="E40:H68" xr:uid="{AAB88AB7-6C69-DA45-9934-D21A10C2A597}">
      <formula1>"65049, 65065, 65079, 65049"</formula1>
    </dataValidation>
    <dataValidation type="list" allowBlank="1" showInputMessage="1" showErrorMessage="1" sqref="L1:L9 L70:L1048576 L10:L68" xr:uid="{801461DD-CA39-6348-901E-D5704769A8BC}">
      <formula1>"Dock, Waterfront, Access, None"</formula1>
    </dataValidation>
    <dataValidation type="list" allowBlank="1" showInputMessage="1" showErrorMessage="1" sqref="G1:G9 G70:G1048576 K10:K68" xr:uid="{5F268259-F383-3547-8465-B0769289AF4C}">
      <formula1>"zestimate, listing_price, estimated"</formula1>
    </dataValidation>
    <dataValidation type="list" allowBlank="1" showInputMessage="1" showErrorMessage="1" sqref="R1:R9 R70:R1048576 R10:R68" xr:uid="{D709D233-5124-5E4B-8D56-79B8BD7291B6}">
      <formula1>"Active Listing, Recently Sold"</formula1>
    </dataValidation>
    <dataValidation type="list" allowBlank="1" showInputMessage="1" showErrorMessage="1" sqref="C70:C1048576 C1:C68" xr:uid="{B45068A1-2682-6942-AD40-E4DDC7FCDBE3}">
      <formula1>"Camdenton, Lake Ozark, Osage Beach, Sunset Beach, Sunrise Beach, Linn Creek, Four Seasons, Villages"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Dashboard</vt:lpstr>
      <vt:lpstr>lake_ozarks_homeowners_v1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Dudzinski</dc:creator>
  <cp:lastModifiedBy>Jessica Dudzinski</cp:lastModifiedBy>
  <dcterms:created xsi:type="dcterms:W3CDTF">2026-03-28T19:32:18Z</dcterms:created>
  <dcterms:modified xsi:type="dcterms:W3CDTF">2026-03-29T18:54:07Z</dcterms:modified>
</cp:coreProperties>
</file>